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86447e7b5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分类" sheetId="1" r:id="Ra62233c060d84cce"/>
    <x:sheet xmlns:r="http://schemas.openxmlformats.org/officeDocument/2006/relationships" name="分类概览" sheetId="2" r:id="R7bb430ce2fb94b55"/>
    <x:sheet xmlns:r="http://schemas.openxmlformats.org/officeDocument/2006/relationships" name="阅读说明" sheetId="3" r:id="R0dcf68abbf30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0">
    <x:font>
      <x:sz val="11"/>
      <x:name val="Carlito"/>
    </x:font>
    <x:font>
      <x:sz val="11"/>
      <x:color rgb="FF203242"/>
      <x:name val="Microsoft YaHei"/>
    </x:font>
    <x:font>
      <x:b/>
      <x:sz val="20"/>
      <x:color rgb="FFFFFFFF"/>
      <x:name val="Microsoft YaHei"/>
    </x:font>
    <x:font>
      <x:sz val="11"/>
      <x:color rgb="FF5E7180"/>
      <x:name val="Microsoft YaHei"/>
    </x:font>
    <x:font>
      <x:sz val="11"/>
      <x:color rgb="FF76520B"/>
      <x:name val="Microsoft YaHei"/>
    </x:font>
    <x:font>
      <x:sz val="10"/>
      <x:color rgb="FF5E7180"/>
      <x:name val="Microsoft YaHei"/>
    </x:font>
    <x:font>
      <x:b/>
      <x:sz val="11"/>
      <x:color rgb="FFFFFFFF"/>
      <x:name val="Microsoft YaHei"/>
    </x:font>
    <x:font>
      <x:b/>
      <x:sz val="11"/>
      <x:color rgb="FF203242"/>
      <x:name val="Microsoft YaHei"/>
    </x:font>
    <x:font>
      <x:b/>
      <x:sz val="18"/>
      <x:color rgb="FF1F6B70"/>
      <x:name val="Microsoft YaHei"/>
    </x:font>
    <x:font>
      <x:b/>
      <x:sz val="12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23A4B"/>
      </x:patternFill>
    </x:fill>
    <x:fill>
      <x:patternFill patternType="solid">
        <x:fgColor rgb="FFEFF4F7"/>
      </x:patternFill>
    </x:fill>
    <x:fill>
      <x:patternFill patternType="solid">
        <x:fgColor rgb="FFFFF1CC"/>
      </x:patternFill>
    </x:fill>
    <x:fill>
      <x:patternFill patternType="solid">
        <x:fgColor rgb="FF1F6B70"/>
      </x:patternFill>
    </x:fill>
    <x:fill>
      <x:patternFill patternType="solid">
        <x:fgColor rgb="FFF2F6F8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horizontal="center" vertical="center" wrapText="1"/>
    </x:xf>
    <x:xf numFmtId="200" fontId="8" fillId="3" borderId="0" xfId="0" applyNumberFormat="1" applyFont="1" applyFill="1" applyBorder="1" applyAlignment="1">
      <x:alignment horizontal="left"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201" fontId="7" fillId="3" borderId="0" xfId="0" applyNumberFormat="1" applyFont="1" applyFill="1" applyBorder="1" applyAlignment="1">
      <x:alignment horizontal="center" vertical="center" wrapText="1"/>
    </x:xf>
    <x:xf numFmtId="200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B3929"/>
      </x:font>
      <x:fill>
        <x:patternFill patternType="solid">
          <x:bgColor rgb="FFF8E1DB"/>
        </x:patternFill>
      </x:fill>
    </x:dxf>
    <x:dxf>
      <x:font>
        <x:b/>
        <x:color rgb="FF285D85"/>
      </x:font>
      <x:fill>
        <x:patternFill patternType="solid">
          <x:bgColor rgb="FFE0EDF7"/>
        </x:patternFill>
      </x:fill>
    </x:dxf>
    <x:dxf>
      <x:font>
        <x:b/>
        <x:color rgb="FF674388"/>
      </x:font>
      <x:fill>
        <x:patternFill patternType="solid">
          <x:bgColor rgb="FFEDE3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4ab2300374e3d" /><Relationship Type="http://schemas.openxmlformats.org/officeDocument/2006/relationships/theme" Target="/xl/theme/theme1.xml" Id="R6349f5ca3b7344bb" /><Relationship Type="http://schemas.openxmlformats.org/officeDocument/2006/relationships/sharedStrings" Target="/xl/sharedStrings.xml" Id="Rd6a67222401d46cd" /><Relationship Type="http://schemas.openxmlformats.org/officeDocument/2006/relationships/worksheet" Target="/xl/worksheets/sheet1.xml" Id="Ra62233c060d84cce" /><Relationship Type="http://schemas.openxmlformats.org/officeDocument/2006/relationships/worksheet" Target="/xl/worksheets/sheet2.xml" Id="R7bb430ce2fb94b55" /><Relationship Type="http://schemas.openxmlformats.org/officeDocument/2006/relationships/worksheet" Target="/xl/worksheets/sheet3.xml" Id="R0dcf68abbf304513" /></Relationships>
</file>

<file path=xl/tables/table1.xml><?xml version="1.0" encoding="utf-8"?>
<x:table xmlns:x="http://schemas.openxmlformats.org/spreadsheetml/2006/main" id="1" name="CardCatalog" displayName="CardCatalog" ref="A7:I55" headerRowCount="1" totalsRowCount="0" totalsRowShown="0">
  <x:autoFilter ref="A7:I55"/>
  <x:tableColumns count="9">
    <x:tableColumn id="1" name="功能分类"/>
    <x:tableColumn id="2" name="名字"/>
    <x:tableColumn id="3" name="消耗能量"/>
    <x:tableColumn id="4" name="类型"/>
    <x:tableColumn id="5" name="功能描述（基础）"/>
    <x:tableColumn id="6" name="功能标签"/>
    <x:tableColumn id="7" name="升级后功能描述"/>
    <x:tableColumn id="8" name="稀有度"/>
    <x:tableColumn id="9" name="卡牌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ce30e334b54e2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.25" hidden="0" customWidth="1"/>
    <x:col min="2" max="2" width="15" hidden="0" customWidth="1"/>
    <x:col min="3" max="3" width="11" hidden="0" customWidth="1"/>
    <x:col min="4" max="4" width="10" hidden="0" customWidth="1"/>
    <x:col min="5" max="5" width="50" hidden="0" customWidth="1"/>
    <x:col min="6" max="6" width="28.75" hidden="0" customWidth="1"/>
    <x:col min="7" max="7" width="50" hidden="0" customWidth="1"/>
    <x:col min="8" max="8" width="10" hidden="0" customWidth="1"/>
    <x:col min="9" max="9" width="19.3799991607666" hidden="0" customWidth="1"/>
  </x:cols>
  <x:sheetData>
    <x:row r="1" ht="42" customHeight="1">
      <x:c r="A1" s="5" t="str">
        <x:v>炽窑  |  全卡牌功能分类</x:v>
      </x:c>
      <x:c r="B1" s="5" t="str">
        <x:v>炽窑  |  全卡牌功能分类</x:v>
      </x:c>
      <x:c r="C1" s="5" t="str">
        <x:v>炽窑  |  全卡牌功能分类</x:v>
      </x:c>
      <x:c r="D1" s="5" t="str">
        <x:v>炽窑  |  全卡牌功能分类</x:v>
      </x:c>
      <x:c r="E1" s="5" t="str">
        <x:v>炽窑  |  全卡牌功能分类</x:v>
      </x:c>
      <x:c r="F1" s="5" t="str">
        <x:v>炽窑  |  全卡牌功能分类</x:v>
      </x:c>
      <x:c r="G1" s="5" t="str">
        <x:v>炽窑  |  全卡牌功能分类</x:v>
      </x:c>
      <x:c r="H1" s="5" t="str">
        <x:v>炽窑  |  全卡牌功能分类</x:v>
      </x:c>
      <x:c r="I1" s="5" t="str">
        <x:v>炽窑  |  全卡牌功能分类</x:v>
      </x:c>
    </x:row>
    <x:row r="2" ht="30" customHeight="1">
      <x:c r="A2" s="7" t="str">
        <x:v>按主功能排序 · 类型沿用攻击 / 技能 / 能力 · 当前已落地 48 张卡牌 · 升级版不重复列入</x:v>
      </x:c>
      <x:c r="B2" s="7" t="str">
        <x:v>按主功能排序 · 类型沿用攻击 / 技能 / 能力 · 当前已落地 48 张卡牌 · 升级版不重复列入</x:v>
      </x:c>
      <x:c r="C2" s="7" t="str">
        <x:v>按主功能排序 · 类型沿用攻击 / 技能 / 能力 · 当前已落地 48 张卡牌 · 升级版不重复列入</x:v>
      </x:c>
      <x:c r="D2" s="7" t="str">
        <x:v>按主功能排序 · 类型沿用攻击 / 技能 / 能力 · 当前已落地 48 张卡牌 · 升级版不重复列入</x:v>
      </x:c>
      <x:c r="E2" s="7" t="str">
        <x:v>按主功能排序 · 类型沿用攻击 / 技能 / 能力 · 当前已落地 48 张卡牌 · 升级版不重复列入</x:v>
      </x:c>
      <x:c r="F2" s="7" t="str">
        <x:v>按主功能排序 · 类型沿用攻击 / 技能 / 能力 · 当前已落地 48 张卡牌 · 升级版不重复列入</x:v>
      </x:c>
      <x:c r="G2" s="7" t="str">
        <x:v>按主功能排序 · 类型沿用攻击 / 技能 / 能力 · 当前已落地 48 张卡牌 · 升级版不重复列入</x:v>
      </x:c>
      <x:c r="H2" s="7" t="str">
        <x:v>按主功能排序 · 类型沿用攻击 / 技能 / 能力 · 当前已落地 48 张卡牌 · 升级版不重复列入</x:v>
      </x:c>
      <x:c r="I2" s="7" t="str">
        <x:v>按主功能排序 · 类型沿用攻击 / 技能 / 能力 · 当前已落地 48 张卡牌 · 升级版不重复列入</x:v>
      </x:c>
    </x:row>
    <x:row r="3" ht="32" customHeight="1">
      <x:c r="A3" s="9" t="str">
        <x:v>阅读提示：名称、费用、效果和升级文案均以当前 data/cards.json 为准；未落地的设计提案未列入。</x:v>
      </x:c>
      <x:c r="B3" s="9" t="str">
        <x:v>阅读提示：名称、费用、效果和升级文案均以当前 data/cards.json 为准；未落地的设计提案未列入。</x:v>
      </x:c>
      <x:c r="C3" s="9" t="str">
        <x:v>阅读提示：名称、费用、效果和升级文案均以当前 data/cards.json 为准；未落地的设计提案未列入。</x:v>
      </x:c>
      <x:c r="D3" s="9" t="str">
        <x:v>阅读提示：名称、费用、效果和升级文案均以当前 data/cards.json 为准；未落地的设计提案未列入。</x:v>
      </x:c>
      <x:c r="E3" s="9" t="str">
        <x:v>阅读提示：名称、费用、效果和升级文案均以当前 data/cards.json 为准；未落地的设计提案未列入。</x:v>
      </x:c>
      <x:c r="F3" s="9" t="str">
        <x:v>阅读提示：名称、费用、效果和升级文案均以当前 data/cards.json 为准；未落地的设计提案未列入。</x:v>
      </x:c>
      <x:c r="G3" s="9" t="str">
        <x:v>阅读提示：名称、费用、效果和升级文案均以当前 data/cards.json 为准；未落地的设计提案未列入。</x:v>
      </x:c>
      <x:c r="H3" s="9" t="str">
        <x:v>阅读提示：名称、费用、效果和升级文案均以当前 data/cards.json 为准；未落地的设计提案未列入。</x:v>
      </x:c>
      <x:c r="I3" s="9" t="str">
        <x:v>阅读提示：名称、费用、效果和升级文案均以当前 data/cards.json 为准；未落地的设计提案未列入。</x:v>
      </x:c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0" customHeight="1">
      <x:c r="A5" s="10" t="str">
        <x:v>快照日期 2026-09-04  |  消耗能量为基础费用，未计入附魔等战斗修正  |  使用表头筛选功能、类型、费用或稀有度</x:v>
      </x:c>
      <x:c r="B5" s="10" t="str">
        <x:v>快照日期 2026-09-04  |  消耗能量为基础费用，未计入附魔等战斗修正  |  使用表头筛选功能、类型、费用或稀有度</x:v>
      </x:c>
      <x:c r="C5" s="10" t="str">
        <x:v>快照日期 2026-09-04  |  消耗能量为基础费用，未计入附魔等战斗修正  |  使用表头筛选功能、类型、费用或稀有度</x:v>
      </x:c>
      <x:c r="D5" s="10" t="str">
        <x:v>快照日期 2026-09-04  |  消耗能量为基础费用，未计入附魔等战斗修正  |  使用表头筛选功能、类型、费用或稀有度</x:v>
      </x:c>
      <x:c r="E5" s="10" t="str">
        <x:v>快照日期 2026-09-04  |  消耗能量为基础费用，未计入附魔等战斗修正  |  使用表头筛选功能、类型、费用或稀有度</x:v>
      </x:c>
      <x:c r="F5" s="10" t="str">
        <x:v>快照日期 2026-09-04  |  消耗能量为基础费用，未计入附魔等战斗修正  |  使用表头筛选功能、类型、费用或稀有度</x:v>
      </x:c>
      <x:c r="G5" s="10" t="str">
        <x:v>快照日期 2026-09-04  |  消耗能量为基础费用，未计入附魔等战斗修正  |  使用表头筛选功能、类型、费用或稀有度</x:v>
      </x:c>
      <x:c r="H5" s="10" t="str">
        <x:v>快照日期 2026-09-04  |  消耗能量为基础费用，未计入附魔等战斗修正  |  使用表头筛选功能、类型、费用或稀有度</x:v>
      </x:c>
      <x:c r="I5" s="10" t="str">
        <x:v>快照日期 2026-09-04  |  消耗能量为基础费用，未计入附魔等战斗修正  |  使用表头筛选功能、类型、费用或稀有度</x:v>
      </x:c>
    </x:row>
    <x:row r="6" ht="30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32" customHeight="1">
      <x:c r="A7" s="12" t="str">
        <x:v>功能分类</x:v>
      </x:c>
      <x:c r="B7" s="12" t="str">
        <x:v>名字</x:v>
      </x:c>
      <x:c r="C7" s="12" t="str">
        <x:v>消耗能量</x:v>
      </x:c>
      <x:c r="D7" s="12" t="str">
        <x:v>类型</x:v>
      </x:c>
      <x:c r="E7" s="12" t="str">
        <x:v>功能描述（基础）</x:v>
      </x:c>
      <x:c r="F7" s="12" t="str">
        <x:v>功能标签</x:v>
      </x:c>
      <x:c r="G7" s="12" t="str">
        <x:v>升级后功能描述</x:v>
      </x:c>
      <x:c r="H7" s="12" t="str">
        <x:v>稀有度</x:v>
      </x:c>
      <x:c r="I7" s="12" t="str">
        <x:v>卡牌 ID</x:v>
      </x:c>
    </x:row>
    <x:row r="8" ht="64" customHeight="1">
      <x:c r="A8" s="13" t="str">
        <x:v>单体伤害</x:v>
      </x:c>
      <x:c r="B8" s="20" t="str">
        <x:v>劈砍</x:v>
      </x:c>
      <x:c r="C8" s="16" t="n">
        <x:v>1</x:v>
      </x:c>
      <x:c r="D8" s="18" t="str">
        <x:v>攻击</x:v>
      </x:c>
      <x:c r="E8" s="13" t="str">
        <x:v>造成 6 点伤害。</x:v>
      </x:c>
      <x:c r="F8" s="13" t="str">
        <x:v>单体伤害</x:v>
      </x:c>
      <x:c r="G8" s="13" t="str">
        <x:v>造成 9 点伤害。</x:v>
      </x:c>
      <x:c r="H8" s="13" t="str">
        <x:v>初始</x:v>
      </x:c>
      <x:c r="I8" s="22" t="str">
        <x:v>strike</x:v>
      </x:c>
    </x:row>
    <x:row r="9" ht="64" customHeight="1">
      <x:c r="A9" s="3" t="str">
        <x:v>单体伤害</x:v>
      </x:c>
      <x:c r="B9" s="21" t="str">
        <x:v>敲釉</x:v>
      </x:c>
      <x:c r="C9" s="17" t="n">
        <x:v>2</x:v>
      </x:c>
      <x:c r="D9" s="19" t="str">
        <x:v>攻击</x:v>
      </x:c>
      <x:c r="E9" s="3" t="str">
        <x:v>造成 8 点伤害，施加 2 层易伤。</x:v>
      </x:c>
      <x:c r="F9" s="3" t="str">
        <x:v>单体伤害 / 易伤</x:v>
      </x:c>
      <x:c r="G9" s="3" t="str">
        <x:v>造成 10 点伤害，施加 3 层易伤。</x:v>
      </x:c>
      <x:c r="H9" s="3" t="str">
        <x:v>初始</x:v>
      </x:c>
      <x:c r="I9" s="10" t="str">
        <x:v>bash</x:v>
      </x:c>
    </x:row>
    <x:row r="10" ht="64" customHeight="1">
      <x:c r="A10" s="13" t="str">
        <x:v>单体伤害</x:v>
      </x:c>
      <x:c r="B10" s="20" t="str">
        <x:v>重劈</x:v>
      </x:c>
      <x:c r="C10" s="16" t="n">
        <x:v>2</x:v>
      </x:c>
      <x:c r="D10" s="18" t="str">
        <x:v>攻击</x:v>
      </x:c>
      <x:c r="E10" s="13" t="str">
        <x:v>造成 14 点伤害。</x:v>
      </x:c>
      <x:c r="F10" s="13" t="str">
        <x:v>单体伤害</x:v>
      </x:c>
      <x:c r="G10" s="13" t="str">
        <x:v>造成 18 点伤害。</x:v>
      </x:c>
      <x:c r="H10" s="13" t="str">
        <x:v>普通</x:v>
      </x:c>
      <x:c r="I10" s="22" t="str">
        <x:v>heavy_slash</x:v>
      </x:c>
    </x:row>
    <x:row r="11" ht="64" customHeight="1">
      <x:c r="A11" s="3" t="str">
        <x:v>单体伤害</x:v>
      </x:c>
      <x:c r="B11" s="21" t="str">
        <x:v>连击</x:v>
      </x:c>
      <x:c r="C11" s="17" t="n">
        <x:v>1</x:v>
      </x:c>
      <x:c r="D11" s="19" t="str">
        <x:v>攻击</x:v>
      </x:c>
      <x:c r="E11" s="3" t="str">
        <x:v>造成 2 次 4 点伤害。</x:v>
      </x:c>
      <x:c r="F11" s="3" t="str">
        <x:v>单体伤害 / 多段</x:v>
      </x:c>
      <x:c r="G11" s="3" t="str">
        <x:v>造成 2 次 5 点伤害。</x:v>
      </x:c>
      <x:c r="H11" s="3" t="str">
        <x:v>普通</x:v>
      </x:c>
      <x:c r="I11" s="10" t="str">
        <x:v>double_strike</x:v>
      </x:c>
    </x:row>
    <x:row r="12" ht="64" customHeight="1">
      <x:c r="A12" s="13" t="str">
        <x:v>单体伤害</x:v>
      </x:c>
      <x:c r="B12" s="20" t="str">
        <x:v>火钳刺</x:v>
      </x:c>
      <x:c r="C12" s="16" t="n">
        <x:v>1</x:v>
      </x:c>
      <x:c r="D12" s="18" t="str">
        <x:v>攻击</x:v>
      </x:c>
      <x:c r="E12" s="13" t="str">
        <x:v>造成 7 点伤害，抽 1 张牌。</x:v>
      </x:c>
      <x:c r="F12" s="13" t="str">
        <x:v>单体伤害 / 抽牌</x:v>
      </x:c>
      <x:c r="G12" s="13" t="str">
        <x:v>造成 10 点伤害，抽 1 张牌。</x:v>
      </x:c>
      <x:c r="H12" s="13" t="str">
        <x:v>普通</x:v>
      </x:c>
      <x:c r="I12" s="22" t="str">
        <x:v>thrust</x:v>
      </x:c>
    </x:row>
    <x:row r="13" ht="64" customHeight="1">
      <x:c r="A13" s="3" t="str">
        <x:v>单体伤害</x:v>
      </x:c>
      <x:c r="B13" s="21" t="str">
        <x:v>鼓风</x:v>
      </x:c>
      <x:c r="C13" s="17" t="n">
        <x:v>0</x:v>
      </x:c>
      <x:c r="D13" s="19" t="str">
        <x:v>攻击</x:v>
      </x:c>
      <x:c r="E13" s="3" t="str">
        <x:v>造成 3 点伤害。（不消耗能量）</x:v>
      </x:c>
      <x:c r="F13" s="3" t="str">
        <x:v>单体伤害</x:v>
      </x:c>
      <x:c r="G13" s="3" t="str">
        <x:v>造成 5 点伤害。</x:v>
      </x:c>
      <x:c r="H13" s="3" t="str">
        <x:v>普通</x:v>
      </x:c>
      <x:c r="I13" s="10" t="str">
        <x:v>charge</x:v>
      </x:c>
    </x:row>
    <x:row r="14" ht="64" customHeight="1">
      <x:c r="A14" s="13" t="str">
        <x:v>单体伤害</x:v>
      </x:c>
      <x:c r="B14" s="20" t="str">
        <x:v>掷坯</x:v>
      </x:c>
      <x:c r="C14" s="16" t="n">
        <x:v>1</x:v>
      </x:c>
      <x:c r="D14" s="18" t="str">
        <x:v>攻击</x:v>
      </x:c>
      <x:c r="E14" s="13" t="str">
        <x:v>造成 5 点伤害。消耗。</x:v>
      </x:c>
      <x:c r="F14" s="13" t="str">
        <x:v>单体伤害 / 消耗</x:v>
      </x:c>
      <x:c r="G14" s="13" t="str">
        <x:v>造成 8 点伤害。消耗。</x:v>
      </x:c>
      <x:c r="H14" s="13" t="str">
        <x:v>普通</x:v>
      </x:c>
      <x:c r="I14" s="22" t="str">
        <x:v>throw_rock</x:v>
      </x:c>
    </x:row>
    <x:row r="15" ht="64" customHeight="1">
      <x:c r="A15" s="3" t="str">
        <x:v>单体伤害</x:v>
      </x:c>
      <x:c r="B15" s="21" t="str">
        <x:v>处决</x:v>
      </x:c>
      <x:c r="C15" s="17" t="n">
        <x:v>2</x:v>
      </x:c>
      <x:c r="D15" s="19" t="str">
        <x:v>攻击</x:v>
      </x:c>
      <x:c r="E15" s="3" t="str">
        <x:v>造成 18 点伤害。</x:v>
      </x:c>
      <x:c r="F15" s="3" t="str">
        <x:v>单体伤害</x:v>
      </x:c>
      <x:c r="G15" s="3" t="str">
        <x:v>造成 23 点伤害。</x:v>
      </x:c>
      <x:c r="H15" s="3" t="str">
        <x:v>罕见</x:v>
      </x:c>
      <x:c r="I15" s="10" t="str">
        <x:v>execute</x:v>
      </x:c>
    </x:row>
    <x:row r="16" ht="64" customHeight="1">
      <x:c r="A16" s="13" t="str">
        <x:v>单体伤害</x:v>
      </x:c>
      <x:c r="B16" s="20" t="str">
        <x:v>巨窑一击</x:v>
      </x:c>
      <x:c r="C16" s="16" t="n">
        <x:v>3</x:v>
      </x:c>
      <x:c r="D16" s="18" t="str">
        <x:v>攻击</x:v>
      </x:c>
      <x:c r="E16" s="13" t="str">
        <x:v>造成 30 点伤害。</x:v>
      </x:c>
      <x:c r="F16" s="13" t="str">
        <x:v>单体伤害</x:v>
      </x:c>
      <x:c r="G16" s="13" t="str">
        <x:v>造成 38 点伤害。</x:v>
      </x:c>
      <x:c r="H16" s="13" t="str">
        <x:v>稀有</x:v>
      </x:c>
      <x:c r="I16" s="22" t="str">
        <x:v>titan_strike</x:v>
      </x:c>
    </x:row>
    <x:row r="17" ht="64" customHeight="1">
      <x:c r="A17" s="3" t="str">
        <x:v>单体伤害</x:v>
      </x:c>
      <x:c r="B17" s="21" t="str">
        <x:v>碎甲击</x:v>
      </x:c>
      <x:c r="C17" s="17" t="n">
        <x:v>2</x:v>
      </x:c>
      <x:c r="D17" s="19" t="str">
        <x:v>攻击</x:v>
      </x:c>
      <x:c r="E17" s="3" t="str">
        <x:v>造成 10 点伤害并获得 8 点格挡。</x:v>
      </x:c>
      <x:c r="F17" s="3" t="str">
        <x:v>单体伤害 / 格挡</x:v>
      </x:c>
      <x:c r="G17" s="3" t="str">
        <x:v>造成 13 点伤害并获得 11 点格挡。</x:v>
      </x:c>
      <x:c r="H17" s="3" t="str">
        <x:v>稀有</x:v>
      </x:c>
      <x:c r="I17" s="10" t="str">
        <x:v>shatter_guard</x:v>
      </x:c>
    </x:row>
    <x:row r="18" ht="64" customHeight="1">
      <x:c r="A18" s="13" t="str">
        <x:v>群体伤害</x:v>
      </x:c>
      <x:c r="B18" s="20" t="str">
        <x:v>扫炭</x:v>
      </x:c>
      <x:c r="C18" s="16" t="n">
        <x:v>1</x:v>
      </x:c>
      <x:c r="D18" s="18" t="str">
        <x:v>攻击</x:v>
      </x:c>
      <x:c r="E18" s="13" t="str">
        <x:v>对所有敌人造成 8 点伤害。</x:v>
      </x:c>
      <x:c r="F18" s="13" t="str">
        <x:v>群体伤害</x:v>
      </x:c>
      <x:c r="G18" s="13" t="str">
        <x:v>对所有敌人造成 11 点伤害。</x:v>
      </x:c>
      <x:c r="H18" s="13" t="str">
        <x:v>普通</x:v>
      </x:c>
      <x:c r="I18" s="22" t="str">
        <x:v>cleave</x:v>
      </x:c>
    </x:row>
    <x:row r="19" ht="64" customHeight="1">
      <x:c r="A19" s="3" t="str">
        <x:v>群体伤害</x:v>
      </x:c>
      <x:c r="B19" s="21" t="str">
        <x:v>炽心</x:v>
      </x:c>
      <x:c r="C19" s="17" t="n">
        <x:v>1</x:v>
      </x:c>
      <x:c r="D19" s="19" t="str">
        <x:v>能力</x:v>
      </x:c>
      <x:c r="E19" s="3" t="str">
        <x:v>每回合结束对所有敌人造成 3 点伤害（持续）。</x:v>
      </x:c>
      <x:c r="F19" s="3" t="str">
        <x:v>持续群攻</x:v>
      </x:c>
      <x:c r="G19" s="3" t="str">
        <x:v>每回合结束对所有敌人造成 4 点伤害（持续）。</x:v>
      </x:c>
      <x:c r="H19" s="3" t="str">
        <x:v>罕见</x:v>
      </x:c>
      <x:c r="I19" s="10" t="str">
        <x:v>burning_soul</x:v>
      </x:c>
    </x:row>
    <x:row r="20" ht="64" customHeight="1">
      <x:c r="A20" s="13" t="str">
        <x:v>群体伤害</x:v>
      </x:c>
      <x:c r="B20" s="20" t="str">
        <x:v>地震</x:v>
      </x:c>
      <x:c r="C20" s="16" t="n">
        <x:v>2</x:v>
      </x:c>
      <x:c r="D20" s="18" t="str">
        <x:v>攻击</x:v>
      </x:c>
      <x:c r="E20" s="13" t="str">
        <x:v>对所有敌人造成 10 点伤害并施加 2 层易伤。</x:v>
      </x:c>
      <x:c r="F20" s="13" t="str">
        <x:v>群体伤害 / 易伤 / 全体目标</x:v>
      </x:c>
      <x:c r="G20" s="13" t="str">
        <x:v>造成 13 点伤害并施加 3 层易伤。</x:v>
      </x:c>
      <x:c r="H20" s="13" t="str">
        <x:v>罕见</x:v>
      </x:c>
      <x:c r="I20" s="22" t="str">
        <x:v>earthquake</x:v>
      </x:c>
    </x:row>
    <x:row r="21" ht="64" customHeight="1">
      <x:c r="A21" s="3" t="str">
        <x:v>群体伤害</x:v>
      </x:c>
      <x:c r="B21" s="21" t="str">
        <x:v>卷灰</x:v>
      </x:c>
      <x:c r="C21" s="17" t="n">
        <x:v>2</x:v>
      </x:c>
      <x:c r="D21" s="19" t="str">
        <x:v>攻击</x:v>
      </x:c>
      <x:c r="E21" s="3" t="str">
        <x:v>对所有敌人造成 2 次 6 点伤害。</x:v>
      </x:c>
      <x:c r="F21" s="3" t="str">
        <x:v>群体伤害 / 多段</x:v>
      </x:c>
      <x:c r="G21" s="3" t="str">
        <x:v>对所有敌人造成 2 次 8 点伤害。</x:v>
      </x:c>
      <x:c r="H21" s="3" t="str">
        <x:v>罕见</x:v>
      </x:c>
      <x:c r="I21" s="10" t="str">
        <x:v>whirlwind</x:v>
      </x:c>
    </x:row>
    <x:row r="22" ht="64" customHeight="1">
      <x:c r="A22" s="13" t="str">
        <x:v>群体伤害</x:v>
      </x:c>
      <x:c r="B22" s="20" t="str">
        <x:v>火暴</x:v>
      </x:c>
      <x:c r="C22" s="16" t="n">
        <x:v>3</x:v>
      </x:c>
      <x:c r="D22" s="18" t="str">
        <x:v>攻击</x:v>
      </x:c>
      <x:c r="E22" s="13" t="str">
        <x:v>对所有敌人造成 2 次 7 点伤害。</x:v>
      </x:c>
      <x:c r="F22" s="13" t="str">
        <x:v>群体伤害 / 多段</x:v>
      </x:c>
      <x:c r="G22" s="13" t="str">
        <x:v>对所有敌人造成 2 次 9 点伤害。</x:v>
      </x:c>
      <x:c r="H22" s="13" t="str">
        <x:v>稀有</x:v>
      </x:c>
      <x:c r="I22" s="22" t="str">
        <x:v>firestorm</x:v>
      </x:c>
    </x:row>
    <x:row r="23" ht="64" customHeight="1">
      <x:c r="A23" s="3" t="str">
        <x:v>群体伤害</x:v>
      </x:c>
      <x:c r="B23" s="21" t="str">
        <x:v>浸灰领域</x:v>
      </x:c>
      <x:c r="C23" s="17" t="n">
        <x:v>2</x:v>
      </x:c>
      <x:c r="D23" s="19" t="str">
        <x:v>能力</x:v>
      </x:c>
      <x:c r="E23" s="3" t="str">
        <x:v>每回合结束对所有敌人造成 5 点伤害，并立即对所有敌人施加 1 层虚弱。</x:v>
      </x:c>
      <x:c r="F23" s="3" t="str">
        <x:v>持续群攻 / 虚弱 / 全体目标</x:v>
      </x:c>
      <x:c r="G23" s="3" t="str">
        <x:v>每回合结束对所有敌人造成 7 点伤害，并立即对所有敌人施加 2 层虚弱。</x:v>
      </x:c>
      <x:c r="H23" s="3" t="str">
        <x:v>稀有</x:v>
      </x:c>
      <x:c r="I23" s="10" t="str">
        <x:v>ash_domain</x:v>
      </x:c>
    </x:row>
    <x:row r="24" ht="64" customHeight="1">
      <x:c r="A24" s="13" t="str">
        <x:v>持续伤害</x:v>
      </x:c>
      <x:c r="B24" s="20" t="str">
        <x:v>炽拳</x:v>
      </x:c>
      <x:c r="C24" s="16" t="n">
        <x:v>1</x:v>
      </x:c>
      <x:c r="D24" s="18" t="str">
        <x:v>攻击</x:v>
      </x:c>
      <x:c r="E24" s="13" t="str">
        <x:v>造成 5 点伤害，施加 2 层燃烧。</x:v>
      </x:c>
      <x:c r="F24" s="13" t="str">
        <x:v>单体伤害 / 燃烧</x:v>
      </x:c>
      <x:c r="G24" s="13" t="str">
        <x:v>造成 7 点伤害，施加 3 层燃烧。</x:v>
      </x:c>
      <x:c r="H24" s="13" t="str">
        <x:v>普通</x:v>
      </x:c>
      <x:c r="I24" s="22" t="str">
        <x:v>burning_fist</x:v>
      </x:c>
    </x:row>
    <x:row r="25" ht="64" customHeight="1">
      <x:c r="A25" s="3" t="str">
        <x:v>持续伤害</x:v>
      </x:c>
      <x:c r="B25" s="21" t="str">
        <x:v>灰刃</x:v>
      </x:c>
      <x:c r="C25" s="17" t="n">
        <x:v>1</x:v>
      </x:c>
      <x:c r="D25" s="19" t="str">
        <x:v>攻击</x:v>
      </x:c>
      <x:c r="E25" s="3" t="str">
        <x:v>造成 4 点伤害，施加 3 层燃烧。</x:v>
      </x:c>
      <x:c r="F25" s="3" t="str">
        <x:v>单体伤害 / 燃烧</x:v>
      </x:c>
      <x:c r="G25" s="3" t="str">
        <x:v>造成 6 点伤害，施加 4 层燃烧。</x:v>
      </x:c>
      <x:c r="H25" s="3" t="str">
        <x:v>罕见</x:v>
      </x:c>
      <x:c r="I25" s="10" t="str">
        <x:v>ash_blade</x:v>
      </x:c>
    </x:row>
    <x:row r="26" ht="64" customHeight="1">
      <x:c r="A26" s="13" t="str">
        <x:v>持续伤害</x:v>
      </x:c>
      <x:c r="B26" s="20" t="str">
        <x:v>余烬爆发</x:v>
      </x:c>
      <x:c r="C26" s="16" t="n">
        <x:v>1</x:v>
      </x:c>
      <x:c r="D26" s="18" t="str">
        <x:v>攻击</x:v>
      </x:c>
      <x:c r="E26" s="13" t="str">
        <x:v>造成 4 点伤害，施加 3 层燃烧。</x:v>
      </x:c>
      <x:c r="F26" s="13" t="str">
        <x:v>单体伤害 / 燃烧</x:v>
      </x:c>
      <x:c r="G26" s="13" t="str">
        <x:v>造成 6 点伤害，施加 4 层燃烧。</x:v>
      </x:c>
      <x:c r="H26" s="13" t="str">
        <x:v>罕见</x:v>
      </x:c>
      <x:c r="I26" s="22" t="str">
        <x:v>ember_burst</x:v>
      </x:c>
    </x:row>
    <x:row r="27" ht="64" customHeight="1">
      <x:c r="A27" s="3" t="str">
        <x:v>持续伤害</x:v>
      </x:c>
      <x:c r="B27" s="21" t="str">
        <x:v>焚原</x:v>
      </x:c>
      <x:c r="C27" s="17" t="n">
        <x:v>3</x:v>
      </x:c>
      <x:c r="D27" s="19" t="str">
        <x:v>攻击</x:v>
      </x:c>
      <x:c r="E27" s="3" t="str">
        <x:v>对所有敌人造成 8 点伤害，施加 3 层燃烧。</x:v>
      </x:c>
      <x:c r="F27" s="3" t="str">
        <x:v>群体伤害 / 燃烧 / 全体目标</x:v>
      </x:c>
      <x:c r="G27" s="3" t="str">
        <x:v>对所有敌人造成 11 点伤害，施加 4 层燃烧。</x:v>
      </x:c>
      <x:c r="H27" s="3" t="str">
        <x:v>稀有</x:v>
      </x:c>
      <x:c r="I27" s="10" t="str">
        <x:v>scorch_field</x:v>
      </x:c>
    </x:row>
    <x:row r="28" ht="64" customHeight="1">
      <x:c r="A28" s="13" t="str">
        <x:v>防御格挡</x:v>
      </x:c>
      <x:c r="B28" s="20" t="str">
        <x:v>格挡</x:v>
      </x:c>
      <x:c r="C28" s="16" t="n">
        <x:v>1</x:v>
      </x:c>
      <x:c r="D28" s="18" t="str">
        <x:v>技能</x:v>
      </x:c>
      <x:c r="E28" s="13" t="str">
        <x:v>获得 5 点格挡。</x:v>
      </x:c>
      <x:c r="F28" s="13" t="str">
        <x:v>格挡</x:v>
      </x:c>
      <x:c r="G28" s="13" t="str">
        <x:v>获得 8 点格挡。</x:v>
      </x:c>
      <x:c r="H28" s="13" t="str">
        <x:v>初始</x:v>
      </x:c>
      <x:c r="I28" s="22" t="str">
        <x:v>defend</x:v>
      </x:c>
    </x:row>
    <x:row r="29" ht="64" customHeight="1">
      <x:c r="A29" s="3" t="str">
        <x:v>防御格挡</x:v>
      </x:c>
      <x:c r="B29" s="21" t="str">
        <x:v>窑壁</x:v>
      </x:c>
      <x:c r="C29" s="17" t="n">
        <x:v>2</x:v>
      </x:c>
      <x:c r="D29" s="19" t="str">
        <x:v>技能</x:v>
      </x:c>
      <x:c r="E29" s="3" t="str">
        <x:v>获得 12 点格挡。</x:v>
      </x:c>
      <x:c r="F29" s="3" t="str">
        <x:v>格挡</x:v>
      </x:c>
      <x:c r="G29" s="3" t="str">
        <x:v>获得 16 点格挡。</x:v>
      </x:c>
      <x:c r="H29" s="3" t="str">
        <x:v>普通</x:v>
      </x:c>
      <x:c r="I29" s="10" t="str">
        <x:v>iron_wall</x:v>
      </x:c>
    </x:row>
    <x:row r="30" ht="64" customHeight="1">
      <x:c r="A30" s="13" t="str">
        <x:v>防御格挡</x:v>
      </x:c>
      <x:c r="B30" s="20" t="str">
        <x:v>挡钳</x:v>
      </x:c>
      <x:c r="C30" s="16" t="n">
        <x:v>1</x:v>
      </x:c>
      <x:c r="D30" s="18" t="str">
        <x:v>技能</x:v>
      </x:c>
      <x:c r="E30" s="13" t="str">
        <x:v>获得 8 点格挡。</x:v>
      </x:c>
      <x:c r="F30" s="13" t="str">
        <x:v>格挡</x:v>
      </x:c>
      <x:c r="G30" s="13" t="str">
        <x:v>获得 11 点格挡。</x:v>
      </x:c>
      <x:c r="H30" s="13" t="str">
        <x:v>普通</x:v>
      </x:c>
      <x:c r="I30" s="22" t="str">
        <x:v>parry</x:v>
      </x:c>
    </x:row>
    <x:row r="31" ht="64" customHeight="1">
      <x:c r="A31" s="3" t="str">
        <x:v>防御格挡</x:v>
      </x:c>
      <x:c r="B31" s="21" t="str">
        <x:v>绕炉</x:v>
      </x:c>
      <x:c r="C31" s="17" t="n">
        <x:v>0</x:v>
      </x:c>
      <x:c r="D31" s="19" t="str">
        <x:v>技能</x:v>
      </x:c>
      <x:c r="E31" s="3" t="str">
        <x:v>获得 4 点格挡，抽 1 张牌。</x:v>
      </x:c>
      <x:c r="F31" s="3" t="str">
        <x:v>格挡 / 抽牌</x:v>
      </x:c>
      <x:c r="G31" s="3" t="str">
        <x:v>获得 6 点格挡，抽 1 张牌。</x:v>
      </x:c>
      <x:c r="H31" s="3" t="str">
        <x:v>普通</x:v>
      </x:c>
      <x:c r="I31" s="10" t="str">
        <x:v>quick_step</x:v>
      </x:c>
    </x:row>
    <x:row r="32" ht="64" customHeight="1">
      <x:c r="A32" s="13" t="str">
        <x:v>防御格挡</x:v>
      </x:c>
      <x:c r="B32" s="20" t="str">
        <x:v>定型</x:v>
      </x:c>
      <x:c r="C32" s="16" t="n">
        <x:v>1</x:v>
      </x:c>
      <x:c r="D32" s="18" t="str">
        <x:v>能力</x:v>
      </x:c>
      <x:c r="E32" s="13" t="str">
        <x:v>每回合开始获得 3 点格挡（持续）。</x:v>
      </x:c>
      <x:c r="F32" s="13" t="str">
        <x:v>持续格挡</x:v>
      </x:c>
      <x:c r="G32" s="13" t="str">
        <x:v>每回合开始获得 4 点格挡（持续）。</x:v>
      </x:c>
      <x:c r="H32" s="13" t="str">
        <x:v>普通</x:v>
      </x:c>
      <x:c r="I32" s="22" t="str">
        <x:v>harden</x:v>
      </x:c>
    </x:row>
    <x:row r="33" ht="64" customHeight="1">
      <x:c r="A33" s="3" t="str">
        <x:v>防御格挡</x:v>
      </x:c>
      <x:c r="B33" s="21" t="str">
        <x:v>不裂</x:v>
      </x:c>
      <x:c r="C33" s="17" t="n">
        <x:v>2</x:v>
      </x:c>
      <x:c r="D33" s="19" t="str">
        <x:v>技能</x:v>
      </x:c>
      <x:c r="E33" s="3" t="str">
        <x:v>获得 20 点格挡与 1 层缓冲。消耗。</x:v>
      </x:c>
      <x:c r="F33" s="3" t="str">
        <x:v>格挡 / 缓冲 / 消耗</x:v>
      </x:c>
      <x:c r="G33" s="3" t="str">
        <x:v>获得 26 点格挡与 2 层缓冲。消耗。</x:v>
      </x:c>
      <x:c r="H33" s="3" t="str">
        <x:v>罕见</x:v>
      </x:c>
      <x:c r="I33" s="10" t="str">
        <x:v>unbreakable</x:v>
      </x:c>
    </x:row>
    <x:row r="34" ht="64" customHeight="1">
      <x:c r="A34" s="13" t="str">
        <x:v>防御格挡</x:v>
      </x:c>
      <x:c r="B34" s="20" t="str">
        <x:v>双壁</x:v>
      </x:c>
      <x:c r="C34" s="16" t="n">
        <x:v>1</x:v>
      </x:c>
      <x:c r="D34" s="18" t="str">
        <x:v>技能</x:v>
      </x:c>
      <x:c r="E34" s="13" t="str">
        <x:v>获得 6 点格挡，抽 1 张牌。</x:v>
      </x:c>
      <x:c r="F34" s="13" t="str">
        <x:v>格挡 / 抽牌</x:v>
      </x:c>
      <x:c r="G34" s="13" t="str">
        <x:v>获得 9 点格挡，抽 1 张牌。</x:v>
      </x:c>
      <x:c r="H34" s="13" t="str">
        <x:v>罕见</x:v>
      </x:c>
      <x:c r="I34" s="22" t="str">
        <x:v>twin_guard</x:v>
      </x:c>
    </x:row>
    <x:row r="35" ht="64" customHeight="1">
      <x:c r="A35" s="3" t="str">
        <x:v>防御格挡</x:v>
      </x:c>
      <x:c r="B35" s="21" t="str">
        <x:v>末薪</x:v>
      </x:c>
      <x:c r="C35" s="17" t="n">
        <x:v>2</x:v>
      </x:c>
      <x:c r="D35" s="19" t="str">
        <x:v>技能</x:v>
      </x:c>
      <x:c r="E35" s="3" t="str">
        <x:v>获得 30 点格挡。消耗。</x:v>
      </x:c>
      <x:c r="F35" s="3" t="str">
        <x:v>格挡 / 消耗</x:v>
      </x:c>
      <x:c r="G35" s="3" t="str">
        <x:v>获得 40 点格挡。消耗。</x:v>
      </x:c>
      <x:c r="H35" s="3" t="str">
        <x:v>稀有</x:v>
      </x:c>
      <x:c r="I35" s="10" t="str">
        <x:v>last_stand</x:v>
      </x:c>
    </x:row>
    <x:row r="36" ht="64" customHeight="1">
      <x:c r="A36" s="13" t="str">
        <x:v>防御格挡</x:v>
      </x:c>
      <x:c r="B36" s="20" t="str">
        <x:v>窑盾共鸣</x:v>
      </x:c>
      <x:c r="C36" s="16" t="n">
        <x:v>1</x:v>
      </x:c>
      <x:c r="D36" s="18" t="str">
        <x:v>能力</x:v>
      </x:c>
      <x:c r="E36" s="13" t="str">
        <x:v>每回合开始获得 4 点格挡（持续）。</x:v>
      </x:c>
      <x:c r="F36" s="13" t="str">
        <x:v>持续格挡</x:v>
      </x:c>
      <x:c r="G36" s="13" t="str">
        <x:v>每回合开始获得 6 点格挡（持续）。</x:v>
      </x:c>
      <x:c r="H36" s="13" t="str">
        <x:v>罕见</x:v>
      </x:c>
      <x:c r="I36" s="22" t="str">
        <x:v>kiln_aegis</x:v>
      </x:c>
    </x:row>
    <x:row r="37" ht="64" customHeight="1">
      <x:c r="A37" s="3" t="str">
        <x:v>抽牌过牌</x:v>
      </x:c>
      <x:c r="B37" s="21" t="str">
        <x:v>鼓风令</x:v>
      </x:c>
      <x:c r="C37" s="17" t="n">
        <x:v>1</x:v>
      </x:c>
      <x:c r="D37" s="19" t="str">
        <x:v>技能</x:v>
      </x:c>
      <x:c r="E37" s="3" t="str">
        <x:v>抽 2 张牌，获得 1 层活力。</x:v>
      </x:c>
      <x:c r="F37" s="3" t="str">
        <x:v>抽牌 / 活力</x:v>
      </x:c>
      <x:c r="G37" s="3" t="str">
        <x:v>抽 3 张牌，获得 1 层活力。</x:v>
      </x:c>
      <x:c r="H37" s="3" t="str">
        <x:v>普通</x:v>
      </x:c>
      <x:c r="I37" s="10" t="str">
        <x:v>war_cry</x:v>
      </x:c>
    </x:row>
    <x:row r="38" ht="64" customHeight="1">
      <x:c r="A38" s="13" t="str">
        <x:v>能量补充</x:v>
      </x:c>
      <x:c r="B38" s="20" t="str">
        <x:v>增焰</x:v>
      </x:c>
      <x:c r="C38" s="16" t="n">
        <x:v>0</x:v>
      </x:c>
      <x:c r="D38" s="18" t="str">
        <x:v>技能</x:v>
      </x:c>
      <x:c r="E38" s="13" t="str">
        <x:v>获得 1 点能量，抽 1 张牌。</x:v>
      </x:c>
      <x:c r="F38" s="13" t="str">
        <x:v>能量 / 抽牌</x:v>
      </x:c>
      <x:c r="G38" s="13" t="str">
        <x:v>获得 1 点能量，抽 2 张牌。</x:v>
      </x:c>
      <x:c r="H38" s="13" t="str">
        <x:v>罕见</x:v>
      </x:c>
      <x:c r="I38" s="22" t="str">
        <x:v>empowering</x:v>
      </x:c>
    </x:row>
    <x:row r="39" ht="64" customHeight="1">
      <x:c r="A39" s="3" t="str">
        <x:v>增益成长</x:v>
      </x:c>
      <x:c r="B39" s="21" t="str">
        <x:v>守窑式</x:v>
      </x:c>
      <x:c r="C39" s="17" t="n">
        <x:v>1</x:v>
      </x:c>
      <x:c r="D39" s="19" t="str">
        <x:v>技能</x:v>
      </x:c>
      <x:c r="E39" s="3" t="str">
        <x:v>获得 2 点力量。</x:v>
      </x:c>
      <x:c r="F39" s="3" t="str">
        <x:v>力量</x:v>
      </x:c>
      <x:c r="G39" s="3" t="str">
        <x:v>获得 3 点力量。</x:v>
      </x:c>
      <x:c r="H39" s="3" t="str">
        <x:v>普通</x:v>
      </x:c>
      <x:c r="I39" s="10" t="str">
        <x:v>battle_stance</x:v>
      </x:c>
    </x:row>
    <x:row r="40" ht="64" customHeight="1">
      <x:c r="A40" s="13" t="str">
        <x:v>增益成长</x:v>
      </x:c>
      <x:c r="B40" s="20" t="str">
        <x:v>炉怒</x:v>
      </x:c>
      <x:c r="C40" s="16" t="n">
        <x:v>1</x:v>
      </x:c>
      <x:c r="D40" s="18" t="str">
        <x:v>能力</x:v>
      </x:c>
      <x:c r="E40" s="13" t="str">
        <x:v>获得 3 点力量（持续）。</x:v>
      </x:c>
      <x:c r="F40" s="13" t="str">
        <x:v>力量</x:v>
      </x:c>
      <x:c r="G40" s="13" t="str">
        <x:v>获得 4 点力量（持续）。</x:v>
      </x:c>
      <x:c r="H40" s="13" t="str">
        <x:v>普通</x:v>
      </x:c>
      <x:c r="I40" s="22" t="str">
        <x:v>rage</x:v>
      </x:c>
    </x:row>
    <x:row r="41" ht="64" customHeight="1">
      <x:c r="A41" s="3" t="str">
        <x:v>增益成长</x:v>
      </x:c>
      <x:c r="B41" s="21" t="str">
        <x:v>嗜热</x:v>
      </x:c>
      <x:c r="C41" s="17" t="n">
        <x:v>2</x:v>
      </x:c>
      <x:c r="D41" s="19" t="str">
        <x:v>能力</x:v>
      </x:c>
      <x:c r="E41" s="3" t="str">
        <x:v>每次打出攻击牌获得 1 点力量（持续）。</x:v>
      </x:c>
      <x:c r="F41" s="3" t="str">
        <x:v>攻击成长</x:v>
      </x:c>
      <x:c r="G41" s="3" t="str">
        <x:v>每次打出攻击牌获得 2 点力量（持续）。</x:v>
      </x:c>
      <x:c r="H41" s="3" t="str">
        <x:v>罕见</x:v>
      </x:c>
      <x:c r="I41" s="10" t="str">
        <x:v>bloodlust</x:v>
      </x:c>
    </x:row>
    <x:row r="42" ht="64" customHeight="1">
      <x:c r="A42" s="13" t="str">
        <x:v>增益成长</x:v>
      </x:c>
      <x:c r="B42" s="20" t="str">
        <x:v>大匠之姿</x:v>
      </x:c>
      <x:c r="C42" s="16" t="n">
        <x:v>2</x:v>
      </x:c>
      <x:c r="D42" s="18" t="str">
        <x:v>能力</x:v>
      </x:c>
      <x:c r="E42" s="13" t="str">
        <x:v>获得 2 点力量与 2 点敏捷（持续）。</x:v>
      </x:c>
      <x:c r="F42" s="13" t="str">
        <x:v>力量 / 敏捷</x:v>
      </x:c>
      <x:c r="G42" s="13" t="str">
        <x:v>获得 3 点力量与 3 点敏捷（持续）。</x:v>
      </x:c>
      <x:c r="H42" s="13" t="str">
        <x:v>稀有</x:v>
      </x:c>
      <x:c r="I42" s="22" t="str">
        <x:v>warlord</x:v>
      </x:c>
    </x:row>
    <x:row r="43" ht="64" customHeight="1">
      <x:c r="A43" s="3" t="str">
        <x:v>增益成长</x:v>
      </x:c>
      <x:c r="B43" s="21" t="str">
        <x:v>熔身</x:v>
      </x:c>
      <x:c r="C43" s="17" t="n">
        <x:v>3</x:v>
      </x:c>
      <x:c r="D43" s="19" t="str">
        <x:v>能力</x:v>
      </x:c>
      <x:c r="E43" s="3" t="str">
        <x:v>每回合开始获得 2 点力量（持续）。</x:v>
      </x:c>
      <x:c r="F43" s="3" t="str">
        <x:v>力量成长</x:v>
      </x:c>
      <x:c r="G43" s="3" t="str">
        <x:v>每回合开始获得 3 点力量（持续）。</x:v>
      </x:c>
      <x:c r="H43" s="3" t="str">
        <x:v>稀有</x:v>
      </x:c>
      <x:c r="I43" s="10" t="str">
        <x:v>molten_form</x:v>
      </x:c>
    </x:row>
    <x:row r="44" ht="64" customHeight="1">
      <x:c r="A44" s="13" t="str">
        <x:v>增益成长</x:v>
      </x:c>
      <x:c r="B44" s="20" t="str">
        <x:v>狂炉</x:v>
      </x:c>
      <x:c r="C44" s="16" t="n">
        <x:v>1</x:v>
      </x:c>
      <x:c r="D44" s="18" t="str">
        <x:v>能力</x:v>
      </x:c>
      <x:c r="E44" s="13" t="str">
        <x:v>每回合开始获得 1 点力量（持续）。</x:v>
      </x:c>
      <x:c r="F44" s="13" t="str">
        <x:v>力量成长</x:v>
      </x:c>
      <x:c r="G44" s="13" t="str">
        <x:v>每回合开始获得 2 点力量（持续）。</x:v>
      </x:c>
      <x:c r="H44" s="13" t="str">
        <x:v>稀有</x:v>
      </x:c>
      <x:c r="I44" s="22" t="str">
        <x:v>berserk</x:v>
      </x:c>
    </x:row>
    <x:row r="45" ht="64" customHeight="1">
      <x:c r="A45" s="3" t="str">
        <x:v>减益控制</x:v>
      </x:c>
      <x:c r="B45" s="21" t="str">
        <x:v>泼水</x:v>
      </x:c>
      <x:c r="C45" s="17" t="n">
        <x:v>1</x:v>
      </x:c>
      <x:c r="D45" s="19" t="str">
        <x:v>技能</x:v>
      </x:c>
      <x:c r="E45" s="3" t="str">
        <x:v>对所有敌人施加 2 层虚弱。</x:v>
      </x:c>
      <x:c r="F45" s="3" t="str">
        <x:v>虚弱 / 全体目标</x:v>
      </x:c>
      <x:c r="G45" s="3" t="str">
        <x:v>对所有敌人施加 3 层虚弱。</x:v>
      </x:c>
      <x:c r="H45" s="3" t="str">
        <x:v>普通</x:v>
      </x:c>
      <x:c r="I45" s="10" t="str">
        <x:v>taunt</x:v>
      </x:c>
    </x:row>
    <x:row r="46" ht="64" customHeight="1">
      <x:c r="A46" s="13" t="str">
        <x:v>减益控制</x:v>
      </x:c>
      <x:c r="B46" s="20" t="str">
        <x:v>群釉咒</x:v>
      </x:c>
      <x:c r="C46" s="16" t="n">
        <x:v>1</x:v>
      </x:c>
      <x:c r="D46" s="18" t="str">
        <x:v>技能</x:v>
      </x:c>
      <x:c r="E46" s="13" t="str">
        <x:v>对所有敌人施加 2 层易伤。</x:v>
      </x:c>
      <x:c r="F46" s="13" t="str">
        <x:v>易伤 / 全体目标</x:v>
      </x:c>
      <x:c r="G46" s="13" t="str">
        <x:v>对所有敌人施加 3 层易伤。</x:v>
      </x:c>
      <x:c r="H46" s="13" t="str">
        <x:v>罕见</x:v>
      </x:c>
      <x:c r="I46" s="22" t="str">
        <x:v>mass_craze</x:v>
      </x:c>
    </x:row>
    <x:row r="47" ht="64" customHeight="1">
      <x:c r="A47" s="3" t="str">
        <x:v>恢复续航</x:v>
      </x:c>
      <x:c r="B47" s="21" t="str">
        <x:v>补釉</x:v>
      </x:c>
      <x:c r="C47" s="17" t="n">
        <x:v>1</x:v>
      </x:c>
      <x:c r="D47" s="19" t="str">
        <x:v>技能</x:v>
      </x:c>
      <x:c r="E47" s="3" t="str">
        <x:v>恢复 6 点生命。</x:v>
      </x:c>
      <x:c r="F47" s="3" t="str">
        <x:v>治疗</x:v>
      </x:c>
      <x:c r="G47" s="3" t="str">
        <x:v>恢复 9 点生命。</x:v>
      </x:c>
      <x:c r="H47" s="3" t="str">
        <x:v>普通</x:v>
      </x:c>
      <x:c r="I47" s="10" t="str">
        <x:v>bandage</x:v>
      </x:c>
    </x:row>
    <x:row r="48" ht="64" customHeight="1">
      <x:c r="A48" s="13" t="str">
        <x:v>恢复续航</x:v>
      </x:c>
      <x:c r="B48" s="20" t="str">
        <x:v>回风</x:v>
      </x:c>
      <x:c r="C48" s="16" t="n">
        <x:v>1</x:v>
      </x:c>
      <x:c r="D48" s="18" t="str">
        <x:v>技能</x:v>
      </x:c>
      <x:c r="E48" s="13" t="str">
        <x:v>恢复 4 点生命并获得 4 点格挡。</x:v>
      </x:c>
      <x:c r="F48" s="13" t="str">
        <x:v>治疗 / 格挡</x:v>
      </x:c>
      <x:c r="G48" s="13" t="str">
        <x:v>恢复 6 点生命并获得 6 点格挡。</x:v>
      </x:c>
      <x:c r="H48" s="13" t="str">
        <x:v>罕见</x:v>
      </x:c>
      <x:c r="I48" s="22" t="str">
        <x:v>second_wind</x:v>
      </x:c>
    </x:row>
    <x:row r="49" ht="64" customHeight="1">
      <x:c r="A49" s="3" t="str">
        <x:v>窑温积累</x:v>
      </x:c>
      <x:c r="B49" s="21" t="str">
        <x:v>燃窑轰击</x:v>
      </x:c>
      <x:c r="C49" s="17" t="n">
        <x:v>2</x:v>
      </x:c>
      <x:c r="D49" s="19" t="str">
        <x:v>攻击</x:v>
      </x:c>
      <x:c r="E49" s="3" t="str">
        <x:v>造成 16 点伤害，积累 2 点窑温。</x:v>
      </x:c>
      <x:c r="F49" s="3" t="str">
        <x:v>单体伤害 / 窑温</x:v>
      </x:c>
      <x:c r="G49" s="3" t="str">
        <x:v>造成 21 点伤害，积累 3 点窑温。</x:v>
      </x:c>
      <x:c r="H49" s="3" t="str">
        <x:v>稀有</x:v>
      </x:c>
      <x:c r="I49" s="10" t="str">
        <x:v>kiln_burst</x:v>
      </x:c>
    </x:row>
    <x:row r="50" ht="64" customHeight="1">
      <x:c r="A50" s="13" t="str">
        <x:v>窑温积累</x:v>
      </x:c>
      <x:c r="B50" s="20" t="str">
        <x:v>炽潮</x:v>
      </x:c>
      <x:c r="C50" s="16" t="n">
        <x:v>1</x:v>
      </x:c>
      <x:c r="D50" s="18" t="str">
        <x:v>攻击</x:v>
      </x:c>
      <x:c r="E50" s="13" t="str">
        <x:v>造成 5 点伤害，积累 1 点窑温，抽 1 张牌。</x:v>
      </x:c>
      <x:c r="F50" s="13" t="str">
        <x:v>单体伤害 / 窑温 / 抽牌</x:v>
      </x:c>
      <x:c r="G50" s="13" t="str">
        <x:v>造成 8 点伤害，积累 1 点窑温，抽 1 张牌。</x:v>
      </x:c>
      <x:c r="H50" s="13" t="str">
        <x:v>罕见</x:v>
      </x:c>
      <x:c r="I50" s="22" t="str">
        <x:v>ember_tide</x:v>
      </x:c>
    </x:row>
    <x:row r="51" ht="64" customHeight="1">
      <x:c r="A51" s="3" t="str">
        <x:v>召唤支援</x:v>
      </x:c>
      <x:c r="B51" s="21" t="str">
        <x:v>召窑犬</x:v>
      </x:c>
      <x:c r="C51" s="17" t="n">
        <x:v>1</x:v>
      </x:c>
      <x:c r="D51" s="19" t="str">
        <x:v>技能</x:v>
      </x:c>
      <x:c r="E51" s="3" t="str">
        <x:v>召唤 窑犬（10 HP，攻击 5，存活 3 回合）。</x:v>
      </x:c>
      <x:c r="F51" s="3" t="str">
        <x:v>召唤</x:v>
      </x:c>
      <x:c r="G51" s="3" t="str">
        <x:v>召唤 2 只 窑犬。</x:v>
      </x:c>
      <x:c r="H51" s="3" t="str">
        <x:v>普通</x:v>
      </x:c>
      <x:c r="I51" s="10" t="str">
        <x:v>summon_hound</x:v>
      </x:c>
    </x:row>
    <x:row r="52" ht="64" customHeight="1">
      <x:c r="A52" s="13" t="str">
        <x:v>召唤支援</x:v>
      </x:c>
      <x:c r="B52" s="20" t="str">
        <x:v>窑犬群</x:v>
      </x:c>
      <x:c r="C52" s="16" t="n">
        <x:v>2</x:v>
      </x:c>
      <x:c r="D52" s="18" t="str">
        <x:v>技能</x:v>
      </x:c>
      <x:c r="E52" s="13" t="str">
        <x:v>召唤 2 只 窑犬。</x:v>
      </x:c>
      <x:c r="F52" s="13" t="str">
        <x:v>召唤</x:v>
      </x:c>
      <x:c r="G52" s="13" t="str">
        <x:v>未配置升级</x:v>
      </x:c>
      <x:c r="H52" s="13" t="str">
        <x:v>罕见</x:v>
      </x:c>
      <x:c r="I52" s="22" t="str">
        <x:v>hound_pack</x:v>
      </x:c>
    </x:row>
    <x:row r="53" ht="64" customHeight="1">
      <x:c r="A53" s="3" t="str">
        <x:v>召唤支援</x:v>
      </x:c>
      <x:c r="B53" s="21" t="str">
        <x:v>釉卫结界</x:v>
      </x:c>
      <x:c r="C53" s="17" t="n">
        <x:v>1</x:v>
      </x:c>
      <x:c r="D53" s="19" t="str">
        <x:v>技能</x:v>
      </x:c>
      <x:c r="E53" s="3" t="str">
        <x:v>召唤 釉卫（14 HP，起始格挡 5，防御，存活 3 回合）。</x:v>
      </x:c>
      <x:c r="F53" s="3" t="str">
        <x:v>召唤</x:v>
      </x:c>
      <x:c r="G53" s="3" t="str">
        <x:v>未配置升级</x:v>
      </x:c>
      <x:c r="H53" s="3" t="str">
        <x:v>普通</x:v>
      </x:c>
      <x:c r="I53" s="10" t="str">
        <x:v>glaze_ward</x:v>
      </x:c>
    </x:row>
    <x:row r="54" ht="64" customHeight="1">
      <x:c r="A54" s="13" t="str">
        <x:v>召唤支援</x:v>
      </x:c>
      <x:c r="B54" s="20" t="str">
        <x:v>指挥号</x:v>
      </x:c>
      <x:c r="C54" s="16" t="n">
        <x:v>1</x:v>
      </x:c>
      <x:c r="D54" s="18" t="str">
        <x:v>技能</x:v>
      </x:c>
      <x:c r="E54" s="13" t="str">
        <x:v>获得 2 层领袖气质（你的随从攻击 / 格挡 +2）。</x:v>
      </x:c>
      <x:c r="F54" s="13" t="str">
        <x:v>领袖气质</x:v>
      </x:c>
      <x:c r="G54" s="13" t="str">
        <x:v>获得 3 层领袖气质。</x:v>
      </x:c>
      <x:c r="H54" s="13" t="str">
        <x:v>罕见</x:v>
      </x:c>
      <x:c r="I54" s="22" t="str">
        <x:v>command_horn</x:v>
      </x:c>
    </x:row>
    <x:row r="55" ht="64" customHeight="1">
      <x:c r="A55" s="3" t="str">
        <x:v>召唤支援</x:v>
      </x:c>
      <x:c r="B55" s="21" t="str">
        <x:v>引火</x:v>
      </x:c>
      <x:c r="C55" s="17" t="n">
        <x:v>0</x:v>
      </x:c>
      <x:c r="D55" s="19" t="str">
        <x:v>技能</x:v>
      </x:c>
      <x:c r="E55" s="3" t="str">
        <x:v>召唤 火灵（6 HP，攻击 4，存活 2 回合）。</x:v>
      </x:c>
      <x:c r="F55" s="3" t="str">
        <x:v>召唤</x:v>
      </x:c>
      <x:c r="G55" s="3" t="str">
        <x:v>未配置升级</x:v>
      </x:c>
      <x:c r="H55" s="3" t="str">
        <x:v>普通</x:v>
      </x:c>
      <x:c r="I55" s="10" t="str">
        <x:v>spark_call</x:v>
      </x:c>
    </x:row>
  </x:sheetData>
  <x:mergeCells>
    <x:mergeCell ref="A1:I1"/>
    <x:mergeCell ref="A2:I2"/>
    <x:mergeCell ref="A3:I3"/>
    <x:mergeCell ref="A5:I5"/>
  </x:mergeCells>
  <x:conditionalFormatting sqref="D8:D55">
    <x:cfRule type="containsText" dxfId="0" priority="1" operator="containsText" text="攻击"/>
    <x:cfRule type="containsText" dxfId="1" priority="2" operator="containsText" text="技能"/>
    <x:cfRule type="containsText" dxfId="2" priority="3" operator="containsText" text="能力"/>
  </x:conditionalFormatting>
  <x:dataValidations count="2">
    <x:dataValidation type="list" sqref="A8:A55">
      <x:formula1>"单体伤害,群体伤害,持续伤害,防御格挡,抽牌过牌,能量补充,增益成长,减益控制,恢复续航,窑温积累,召唤支援"</x:formula1>
    </x:dataValidation>
    <x:dataValidation type="list" sqref="D8:D55">
      <x:formula1>"攻击,技能,能力"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ce30e334b54e2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.1299991607666" hidden="0" customWidth="1"/>
    <x:col min="2" max="2" width="12.5" hidden="0" customWidth="1"/>
    <x:col min="3" max="3" width="15" hidden="0" customWidth="1"/>
    <x:col min="4" max="4" width="68.75" hidden="0" customWidth="1"/>
  </x:cols>
  <x:sheetData>
    <x:row r="1" ht="42" customHeight="1">
      <x:c r="A1" s="5" t="str">
        <x:v>分类概览</x:v>
      </x:c>
      <x:c r="B1" s="5" t="str">
        <x:v>分类概览</x:v>
      </x:c>
      <x:c r="C1" s="5" t="str">
        <x:v>分类概览</x:v>
      </x:c>
      <x:c r="D1" s="5" t="str">
        <x:v>分类概览</x:v>
      </x:c>
    </x:row>
    <x:row r="2" ht="30" customHeight="1">
      <x:c r="A2" s="7" t="str">
        <x:v>统计直接引用「卡牌分类」；多功能卡仅按主功能计数，其他作用保留为标签。</x:v>
      </x:c>
      <x:c r="B2" s="7" t="str">
        <x:v>统计直接引用「卡牌分类」；多功能卡仅按主功能计数，其他作用保留为标签。</x:v>
      </x:c>
      <x:c r="C2" s="7" t="str">
        <x:v>统计直接引用「卡牌分类」；多功能卡仅按主功能计数，其他作用保留为标签。</x:v>
      </x:c>
      <x:c r="D2" s="7" t="str">
        <x:v>统计直接引用「卡牌分类」；多功能卡仅按主功能计数，其他作用保留为标签。</x:v>
      </x:c>
    </x:row>
    <x:row r="3" ht="30" customHeight="1">
      <x:c r="A3" s="3"/>
      <x:c r="B3" s="3"/>
      <x:c r="C3" s="3"/>
      <x:c r="D3" s="3"/>
    </x:row>
    <x:row r="4" ht="36" customHeight="1">
      <x:c r="A4" s="6" t="str">
        <x:v>全部卡牌</x:v>
      </x:c>
      <x:c r="B4" s="25" t="n">
        <x:f>COUNTA('卡牌分类'!$I$8:$I$55)</x:f>
        <x:v>48</x:v>
      </x:c>
      <x:c r="C4" s="6" t="str">
        <x:v>可升级</x:v>
      </x:c>
      <x:c r="D4" s="26" t="n">
        <x:f>COUNTIF('卡牌分类'!$G$8:$G$55,"&lt;&gt;未配置升级")</x:f>
        <x:v>45</x:v>
      </x:c>
    </x:row>
    <x:row r="5" ht="36" customHeight="1">
      <x:c r="A5" s="6" t="str">
        <x:v>当前可见</x:v>
      </x:c>
      <x:c r="B5" s="25" t="n">
        <x:f>SUBTOTAL(103,'卡牌分类'!$B$8:$B$55)</x:f>
        <x:v>48</x:v>
      </x:c>
      <x:c r="C5" s="6" t="str">
        <x:v>未配置升级</x:v>
      </x:c>
      <x:c r="D5" s="26" t="n">
        <x:f>COUNTIF('卡牌分类'!$G$8:$G$55,"未配置升级")</x:f>
        <x:v>3</x:v>
      </x:c>
    </x:row>
    <x:row r="6" ht="30" customHeight="1">
      <x:c r="A6" s="3"/>
      <x:c r="B6" s="3"/>
      <x:c r="C6" s="3"/>
      <x:c r="D6" s="3"/>
    </x:row>
    <x:row r="7" ht="30" customHeight="1">
      <x:c r="A7" s="3"/>
      <x:c r="B7" s="3"/>
      <x:c r="C7" s="3"/>
      <x:c r="D7" s="3"/>
    </x:row>
    <x:row r="8" ht="32" customHeight="1">
      <x:c r="A8" s="12" t="str">
        <x:v>卡牌类型</x:v>
      </x:c>
      <x:c r="B8" s="12" t="str">
        <x:v>数量</x:v>
      </x:c>
      <x:c r="C8" s="12" t="str">
        <x:v>占比</x:v>
      </x:c>
      <x:c r="D8" s="12" t="str">
        <x:v>类型含义</x:v>
      </x:c>
    </x:row>
    <x:row r="9" ht="42" customHeight="1">
      <x:c r="A9" s="13" t="str">
        <x:v>攻击</x:v>
      </x:c>
      <x:c r="B9" s="14" t="n">
        <x:f>COUNTIF('卡牌分类'!$D$8:$D$55,A9)</x:f>
        <x:v>20</x:v>
      </x:c>
      <x:c r="C9" s="29" t="n">
        <x:f>B9/$B$4</x:f>
        <x:v>0.4166666666666667</x:v>
      </x:c>
      <x:c r="D9" s="13" t="str">
        <x:v>Attack：以直接攻击伤害为主要表现，可带其他效果。</x:v>
      </x:c>
    </x:row>
    <x:row r="10" ht="42" customHeight="1">
      <x:c r="A10" s="3" t="str">
        <x:v>技能</x:v>
      </x:c>
      <x:c r="B10" s="15" t="n">
        <x:f>COUNTIF('卡牌分类'!$D$8:$D$55,A10)</x:f>
        <x:v>19</x:v>
      </x:c>
      <x:c r="C10" s="30" t="n">
        <x:f>B10/$B$4</x:f>
        <x:v>0.3958333333333333</x:v>
      </x:c>
      <x:c r="D10" s="3" t="str">
        <x:v>Skill：格挡、抽牌、能量、治疗、增益、减益或召唤等。</x:v>
      </x:c>
    </x:row>
    <x:row r="11" ht="42" customHeight="1">
      <x:c r="A11" s="13" t="str">
        <x:v>能力</x:v>
      </x:c>
      <x:c r="B11" s="14" t="n">
        <x:f>COUNTIF('卡牌分类'!$D$8:$D$55,A11)</x:f>
        <x:v>9</x:v>
      </x:c>
      <x:c r="C11" s="29" t="n">
        <x:f>B11/$B$4</x:f>
        <x:v>0.1875</x:v>
      </x:c>
      <x:c r="D11" s="13" t="str">
        <x:v>Power：提供持续能力或战斗增益；类型保持项目 type 原值。</x:v>
      </x:c>
    </x:row>
    <x:row r="12" ht="30" customHeight="1">
      <x:c r="A12" s="3"/>
      <x:c r="B12" s="3"/>
      <x:c r="C12" s="3"/>
      <x:c r="D12" s="3"/>
    </x:row>
    <x:row r="13" ht="30" customHeight="1">
      <x:c r="A13" s="3"/>
      <x:c r="B13" s="3"/>
      <x:c r="C13" s="3"/>
      <x:c r="D13" s="3"/>
    </x:row>
    <x:row r="14" ht="30" customHeight="1">
      <x:c r="A14" s="31" t="str">
        <x:v>主功能分组</x:v>
      </x:c>
      <x:c r="B14" s="31" t="str">
        <x:v>主功能分组</x:v>
      </x:c>
      <x:c r="C14" s="31" t="str">
        <x:v>主功能分组</x:v>
      </x:c>
      <x:c r="D14" s="31" t="str">
        <x:v>主功能分组</x:v>
      </x:c>
    </x:row>
    <x:row r="15" ht="32" customHeight="1">
      <x:c r="A15" s="12" t="str">
        <x:v>主功能</x:v>
      </x:c>
      <x:c r="B15" s="12" t="str">
        <x:v>数量</x:v>
      </x:c>
      <x:c r="C15" s="12" t="str">
        <x:v>占比</x:v>
      </x:c>
      <x:c r="D15" s="12" t="str">
        <x:v>归类口径（本表整理）</x:v>
      </x:c>
    </x:row>
    <x:row r="16" ht="44" customHeight="1">
      <x:c r="A16" s="13" t="str">
        <x:v>单体伤害</x:v>
      </x:c>
      <x:c r="B16" s="14" t="n">
        <x:f>COUNTIF('卡牌分类'!$A$8:$A$55,A16)</x:f>
        <x:v>10</x:v>
      </x:c>
      <x:c r="C16" s="29" t="n">
        <x:f>B16/$B$4</x:f>
        <x:v>0.20833333333333334</x:v>
      </x:c>
      <x:c r="D16" s="13" t="str">
        <x:v>以单体直接伤害为主；附带抽牌、格挡或易伤仍在标签中保留。</x:v>
      </x:c>
    </x:row>
    <x:row r="17" ht="44" customHeight="1">
      <x:c r="A17" s="3" t="str">
        <x:v>群体伤害</x:v>
      </x:c>
      <x:c r="B17" s="15" t="n">
        <x:f>COUNTIF('卡牌分类'!$A$8:$A$55,A17)</x:f>
        <x:v>6</x:v>
      </x:c>
      <x:c r="C17" s="30" t="n">
        <x:f>B17/$B$4</x:f>
        <x:v>0.125</x:v>
      </x:c>
      <x:c r="D17" s="3" t="str">
        <x:v>直接群攻或回合结束自动群攻；不包含以燃烧为主的卡。</x:v>
      </x:c>
    </x:row>
    <x:row r="18" ht="44" customHeight="1">
      <x:c r="A18" s="13" t="str">
        <x:v>持续伤害</x:v>
      </x:c>
      <x:c r="B18" s="14" t="n">
        <x:f>COUNTIF('卡牌分类'!$A$8:$A$55,A18)</x:f>
        <x:v>4</x:v>
      </x:c>
      <x:c r="C18" s="29" t="n">
        <x:f>B18/$B$4</x:f>
        <x:v>0.08333333333333333</x:v>
      </x:c>
      <x:c r="D18" s="13" t="str">
        <x:v>施加燃烧的卡；同时标记直接伤害与群体／单体作用。</x:v>
      </x:c>
    </x:row>
    <x:row r="19" ht="44" customHeight="1">
      <x:c r="A19" s="3" t="str">
        <x:v>防御格挡</x:v>
      </x:c>
      <x:c r="B19" s="15" t="n">
        <x:f>COUNTIF('卡牌分类'!$A$8:$A$55,A19)</x:f>
        <x:v>9</x:v>
      </x:c>
      <x:c r="C19" s="30" t="n">
        <x:f>B19/$B$4</x:f>
        <x:v>0.1875</x:v>
      </x:c>
      <x:c r="D19" s="3" t="str">
        <x:v>即时格挡或每回合提供格挡；附带抽牌用标签补充。</x:v>
      </x:c>
    </x:row>
    <x:row r="20" ht="44" customHeight="1">
      <x:c r="A20" s="13" t="str">
        <x:v>抽牌过牌</x:v>
      </x:c>
      <x:c r="B20" s="14" t="n">
        <x:f>COUNTIF('卡牌分类'!$A$8:$A$55,A20)</x:f>
        <x:v>1</x:v>
      </x:c>
      <x:c r="C20" s="29" t="n">
        <x:f>B20/$B$4</x:f>
        <x:v>0.020833333333333332</x:v>
      </x:c>
      <x:c r="D20" s="13" t="str">
        <x:v>以抽牌为主、无直接伤害／格挡／能量等主要效果。</x:v>
      </x:c>
    </x:row>
    <x:row r="21" ht="44" customHeight="1">
      <x:c r="A21" s="3" t="str">
        <x:v>能量补充</x:v>
      </x:c>
      <x:c r="B21" s="15" t="n">
        <x:f>COUNTIF('卡牌分类'!$A$8:$A$55,A21)</x:f>
        <x:v>1</x:v>
      </x:c>
      <x:c r="C21" s="30" t="n">
        <x:f>B21/$B$4</x:f>
        <x:v>0.020833333333333332</x:v>
      </x:c>
      <x:c r="D21" s="3" t="str">
        <x:v>提供能量，附带抽牌等效果仍写入描述与标签。</x:v>
      </x:c>
    </x:row>
    <x:row r="22" ht="44" customHeight="1">
      <x:c r="A22" s="13" t="str">
        <x:v>增益成长</x:v>
      </x:c>
      <x:c r="B22" s="14" t="n">
        <x:f>COUNTIF('卡牌分类'!$A$8:$A$55,A22)</x:f>
        <x:v>6</x:v>
      </x:c>
      <x:c r="C22" s="29" t="n">
        <x:f>B22/$B$4</x:f>
        <x:v>0.125</x:v>
      </x:c>
      <x:c r="D22" s="13" t="str">
        <x:v>力量、敏捷及其持续成长；不含随从专属的领袖气质。</x:v>
      </x:c>
    </x:row>
    <x:row r="23" ht="44" customHeight="1">
      <x:c r="A23" s="3" t="str">
        <x:v>减益控制</x:v>
      </x:c>
      <x:c r="B23" s="15" t="n">
        <x:f>COUNTIF('卡牌分类'!$A$8:$A$55,A23)</x:f>
        <x:v>2</x:v>
      </x:c>
      <x:c r="C23" s="30" t="n">
        <x:f>B23/$B$4</x:f>
        <x:v>0.041666666666666664</x:v>
      </x:c>
      <x:c r="D23" s="3" t="str">
        <x:v>主要对敌施加虚弱或易伤，没有直接伤害。</x:v>
      </x:c>
    </x:row>
    <x:row r="24" ht="44" customHeight="1">
      <x:c r="A24" s="13" t="str">
        <x:v>恢复续航</x:v>
      </x:c>
      <x:c r="B24" s="14" t="n">
        <x:f>COUNTIF('卡牌分类'!$A$8:$A$55,A24)</x:f>
        <x:v>2</x:v>
      </x:c>
      <x:c r="C24" s="29" t="n">
        <x:f>B24/$B$4</x:f>
        <x:v>0.041666666666666664</x:v>
      </x:c>
      <x:c r="D24" s="13" t="str">
        <x:v>提供生命恢复，可兼有格挡。</x:v>
      </x:c>
    </x:row>
    <x:row r="25" ht="44" customHeight="1">
      <x:c r="A25" s="3" t="str">
        <x:v>窑温积累</x:v>
      </x:c>
      <x:c r="B25" s="15" t="n">
        <x:f>COUNTIF('卡牌分类'!$A$8:$A$55,A25)</x:f>
        <x:v>2</x:v>
      </x:c>
      <x:c r="C25" s="30" t="n">
        <x:f>B25/$B$4</x:f>
        <x:v>0.041666666666666664</x:v>
      </x:c>
      <x:c r="D25" s="3" t="str">
        <x:v>包含积累窑温的效果；本项目专有功能细分。</x:v>
      </x:c>
    </x:row>
    <x:row r="26" ht="44" customHeight="1">
      <x:c r="A26" s="13" t="str">
        <x:v>召唤支援</x:v>
      </x:c>
      <x:c r="B26" s="14" t="n">
        <x:f>COUNTIF('卡牌分类'!$A$8:$A$55,A26)</x:f>
        <x:v>5</x:v>
      </x:c>
      <x:c r="C26" s="29" t="n">
        <x:f>B26/$B$4</x:f>
        <x:v>0.10416666666666667</x:v>
      </x:c>
      <x:c r="D26" s="13" t="str">
        <x:v>召唤随从或提供指挥；本项目专有功能细分。</x:v>
      </x:c>
    </x:row>
    <x:row r="27" ht="30" customHeight="1">
      <x:c r="A27" s="3"/>
      <x:c r="B27" s="3"/>
      <x:c r="C27" s="3"/>
      <x:c r="D27" s="3"/>
    </x:row>
    <x:row r="28" ht="42" customHeight="1">
      <x:c r="A28" s="33" t="str">
        <x:v>功能分类合计</x:v>
      </x:c>
      <x:c r="B28" s="35" t="n">
        <x:f>SUM(B16:B26)</x:f>
        <x:v>48</x:v>
      </x:c>
      <x:c r="C28" s="34" t="n">
        <x:f>B28/$B$4</x:f>
        <x:v>1</x:v>
      </x:c>
      <x:c r="D28" s="33" t="str">
        <x:v>主功能互斥；功能标签可重叠，不能将标签数量相加。</x:v>
      </x:c>
    </x:row>
    <x:row r="29" ht="30" customHeight="1">
      <x:c r="A29" s="3"/>
      <x:c r="B29" s="3"/>
      <x:c r="C29" s="3"/>
      <x:c r="D29" s="3"/>
    </x:row>
    <x:row r="30" ht="34" customHeight="1">
      <x:c r="A30" s="10" t="str">
        <x:v>分类参照的是《杀戮尖塔》的三类常规可用牌；本项目目前没有状态牌、诅咒牌条目。</x:v>
      </x:c>
      <x:c r="B30" s="10" t="str">
        <x:v>分类参照的是《杀戮尖塔》的三类常规可用牌；本项目目前没有状态牌、诅咒牌条目。</x:v>
      </x:c>
      <x:c r="C30" s="10" t="str">
        <x:v>分类参照的是《杀戮尖塔》的三类常规可用牌；本项目目前没有状态牌、诅咒牌条目。</x:v>
      </x:c>
      <x:c r="D30" s="10" t="str">
        <x:v>分类参照的是《杀戮尖塔》的三类常规可用牌；本项目目前没有状态牌、诅咒牌条目。</x:v>
      </x:c>
    </x:row>
    <x:row r="31" ht="34" customHeight="1">
      <x:c r="A31" s="10" t="str">
        <x:v>功能细分是本次按项目效果整理的分析维度，不是《杀戮尖塔》官方固定子分类；窑温、召唤为项目专有。</x:v>
      </x:c>
      <x:c r="B31" s="10" t="str">
        <x:v>功能细分是本次按项目效果整理的分析维度，不是《杀戮尖塔》官方固定子分类；窑温、召唤为项目专有。</x:v>
      </x:c>
      <x:c r="C31" s="10" t="str">
        <x:v>功能细分是本次按项目效果整理的分析维度，不是《杀戮尖塔》官方固定子分类；窑温、召唤为项目专有。</x:v>
      </x:c>
      <x:c r="D31" s="10" t="str">
        <x:v>功能细分是本次按项目效果整理的分析维度，不是《杀戮尖塔》官方固定子分类；窑温、召唤为项目专有。</x:v>
      </x:c>
    </x:row>
    <x:row r="32" ht="30" customHeight="1">
      <x:c r="A32" s="3"/>
      <x:c r="B32" s="3"/>
      <x:c r="C32" s="3"/>
      <x:c r="D32" s="3"/>
    </x:row>
    <x:row r="33" ht="30" customHeight="1">
      <x:c r="A33" s="3"/>
      <x:c r="B33" s="3"/>
      <x:c r="C33" s="3"/>
      <x:c r="D33" s="3"/>
    </x:row>
  </x:sheetData>
  <x:mergeCells>
    <x:mergeCell ref="A1:D1"/>
    <x:mergeCell ref="A2:D2"/>
    <x:mergeCell ref="A14:D14"/>
    <x:mergeCell ref="A30:D30"/>
    <x:mergeCell ref="A31:D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7.5" hidden="0" customWidth="1"/>
    <x:col min="2" max="2" width="80" hidden="0" customWidth="1"/>
    <x:col min="3" max="3" width="40.630001068115234" hidden="0" customWidth="1"/>
  </x:cols>
  <x:sheetData>
    <x:row r="1" ht="42" customHeight="1">
      <x:c r="A1" s="5" t="str">
        <x:v>阅读说明与数据来源</x:v>
      </x:c>
      <x:c r="B1" s="5" t="str">
        <x:v>阅读说明与数据来源</x:v>
      </x:c>
      <x:c r="C1" s="5" t="str">
        <x:v>阅读说明与数据来源</x:v>
      </x:c>
    </x:row>
    <x:row r="2" ht="30" customHeight="1">
      <x:c r="A2" s="7" t="str">
        <x:v>静态快照 · 2026-09-04 · 本次仅重新生成 Excel，没有修改游戏数据或执行 Godot 运行测试。</x:v>
      </x:c>
      <x:c r="B2" s="7" t="str">
        <x:v>静态快照 · 2026-09-04 · 本次仅重新生成 Excel，没有修改游戏数据或执行 Godot 运行测试。</x:v>
      </x:c>
      <x:c r="C2" s="7" t="str">
        <x:v>静态快照 · 2026-09-04 · 本次仅重新生成 Excel，没有修改游戏数据或执行 Godot 运行测试。</x:v>
      </x:c>
    </x:row>
    <x:row r="3" ht="30" customHeight="1">
      <x:c r="A3" s="3"/>
      <x:c r="B3" s="3"/>
      <x:c r="C3" s="3"/>
    </x:row>
    <x:row r="4" ht="30" customHeight="1">
      <x:c r="A4" s="31" t="str">
        <x:v>01  分类与数值口径</x:v>
      </x:c>
      <x:c r="B4" s="31" t="str">
        <x:v>01  分类与数值口径</x:v>
      </x:c>
      <x:c r="C4" s="31" t="str">
        <x:v>01  分类与数值口径</x:v>
      </x:c>
    </x:row>
    <x:row r="5" ht="44" customHeight="1">
      <x:c r="A5" s="6" t="str">
        <x:v>名字、费用、类型、稀有度、基础及升级描述均来自 data/cards.json；每个 ID 只保留一行。不同名字但效果相同的独立卡仍分别保留。</x:v>
      </x:c>
      <x:c r="B5" s="6" t="str">
        <x:v>名字、费用、类型、稀有度、基础及升级描述均来自 data/cards.json；每个 ID 只保留一行。不同名字但效果相同的独立卡仍分别保留。</x:v>
      </x:c>
      <x:c r="C5" s="6" t="str">
        <x:v>名字、费用、类型、稀有度、基础及升级描述均来自 data/cards.json；每个 ID 只保留一行。不同名字但效果相同的独立卡仍分别保留。</x:v>
      </x:c>
    </x:row>
    <x:row r="6" ht="44" customHeight="1">
      <x:c r="A6" s="3" t="str">
        <x:v>主功能按核心效果归类；兼具多个效果时优先识别召唤／领袖气质、窑温、燃烧，其次群攻、单体攻击，再看治疗、能量、格挡、成长、控制、抽牌。</x:v>
      </x:c>
      <x:c r="B6" s="3" t="str">
        <x:v>主功能按核心效果归类；兼具多个效果时优先识别召唤／领袖气质、窑温、燃烧，其次群攻、单体攻击，再看治疗、能量、格挡、成长、控制、抽牌。</x:v>
      </x:c>
      <x:c r="C6" s="3" t="str">
        <x:v>主功能按核心效果归类；兼具多个效果时优先识别召唤／领袖气质、窑温、燃烧，其次群攻、单体攻击，再看治疗、能量、格挡、成长、控制、抽牌。</x:v>
      </x:c>
    </x:row>
    <x:row r="7" ht="44" customHeight="1">
      <x:c r="A7" s="6" t="str">
        <x:v>功能描述原样保留；功能标签依据基础 effects 整理。升级效果按 CardData.get_effects 的替换逻辑理解，不把基础与升级效果相加。</x:v>
      </x:c>
      <x:c r="B7" s="6" t="str">
        <x:v>功能描述原样保留；功能标签依据基础 effects 整理。升级效果按 CardData.get_effects 的替换逻辑理解，不把基础与升级效果相加。</x:v>
      </x:c>
      <x:c r="C7" s="6" t="str">
        <x:v>功能描述原样保留；功能标签依据基础 effects 整理。升级效果按 CardData.get_effects 的替换逻辑理解，不把基础与升级效果相加。</x:v>
      </x:c>
    </x:row>
    <x:row r="8" ht="44" customHeight="1">
      <x:c r="A8" s="3" t="str">
        <x:v>消耗能量是基础 cost，本次数据没有单独升级费用。未配置升级的卡明确标注；原文“消耗”指 Exhaust，不等于能量费用。</x:v>
      </x:c>
      <x:c r="B8" s="3" t="str">
        <x:v>消耗能量是基础 cost，本次数据没有单独升级费用。未配置升级的卡明确标注；原文“消耗”指 Exhaust，不等于能量费用。</x:v>
      </x:c>
      <x:c r="C8" s="3" t="str">
        <x:v>消耗能量是基础 cost，本次数据没有单独升级费用。未配置升级的卡明确标注；原文“消耗”指 Exhaust，不等于能量费用。</x:v>
      </x:c>
    </x:row>
    <x:row r="9" ht="30" customHeight="1">
      <x:c r="A9" s="3"/>
      <x:c r="B9" s="3"/>
      <x:c r="C9" s="3"/>
    </x:row>
    <x:row r="10" ht="30" customHeight="1">
      <x:c r="A10" s="31" t="str">
        <x:v>02  来源与参考</x:v>
      </x:c>
      <x:c r="B10" s="31" t="str">
        <x:v>02  来源与参考</x:v>
      </x:c>
      <x:c r="C10" s="31" t="str">
        <x:v>02  来源与参考</x:v>
      </x:c>
    </x:row>
    <x:row r="11" ht="42" customHeight="1">
      <x:c r="A11" s="13" t="str">
        <x:v>卡牌数据</x:v>
      </x:c>
      <x:c r="B11" s="22" t="str">
        <x:v>F:\WorkingFiles\AI Studio\杀戮尖塔\data\cards.json</x:v>
      </x:c>
      <x:c r="C11" s="13" t="str">
        <x:v>id / name / cost / type / effects / upgrade / description</x:v>
      </x:c>
    </x:row>
    <x:row r="12" ht="42" customHeight="1">
      <x:c r="A12" s="3" t="str">
        <x:v>升级逻辑</x:v>
      </x:c>
      <x:c r="B12" s="10" t="str">
        <x:v>F:\WorkingFiles\AI Studio\杀戮尖塔\scripts\data\CardData.gd</x:v>
      </x:c>
      <x:c r="C12" s="3" t="str">
        <x:v>get_effects / get_description / has_upgrade</x:v>
      </x:c>
    </x:row>
    <x:row r="13" ht="42" customHeight="1">
      <x:c r="A13" s="13" t="str">
        <x:v>状态释义</x:v>
      </x:c>
      <x:c r="B13" s="22" t="str">
        <x:v>F:\WorkingFiles\AI Studio\杀戮尖塔\data\statuses.json</x:v>
      </x:c>
      <x:c r="C13" s="13" t="str">
        <x:v>名称与效果文本均沿用配置</x:v>
      </x:c>
    </x:row>
    <x:row r="14" ht="42" customHeight="1">
      <x:c r="A14" s="3" t="str">
        <x:v>随从资料</x:v>
      </x:c>
      <x:c r="B14" s="10" t="str">
        <x:v>F:\WorkingFiles\AI Studio\杀戮尖塔\data\minions.json</x:v>
      </x:c>
      <x:c r="C14" s="3" t="str">
        <x:v>基础生命 / 格挡 / 行动 / 存活回合</x:v>
      </x:c>
    </x:row>
    <x:row r="15" ht="42" customHeight="1">
      <x:c r="A15" s="13" t="str">
        <x:v>分类参考</x:v>
      </x:c>
      <x:c r="B15" s="22" t="str">
        <x:v>https://slaythespire.wiki.gg/wiki/Cards</x:v>
      </x:c>
      <x:c r="C15" s="13" t="str">
        <x:v>Slay the Spire 1 · Cards / Card Types；类型口径沿用上次已确认的参考</x:v>
      </x:c>
    </x:row>
    <x:row r="16" ht="30" customHeight="1">
      <x:c r="A16" s="3"/>
      <x:c r="B16" s="3"/>
      <x:c r="C16" s="3"/>
    </x:row>
    <x:row r="17" ht="30" customHeight="1">
      <x:c r="A17" s="31" t="str">
        <x:v>03  数据核对</x:v>
      </x:c>
      <x:c r="B17" s="31" t="str">
        <x:v>03  数据核对</x:v>
      </x:c>
      <x:c r="C17" s="31" t="str">
        <x:v>03  数据核对</x:v>
      </x:c>
    </x:row>
    <x:row r="18" ht="32" customHeight="1">
      <x:c r="A18" s="12" t="str">
        <x:v>检查项</x:v>
      </x:c>
      <x:c r="B18" s="12" t="str">
        <x:v>结果</x:v>
      </x:c>
      <x:c r="C18" s="12" t="str">
        <x:v>本表处理</x:v>
      </x:c>
    </x:row>
    <x:row r="19" ht="64" customHeight="1">
      <x:c r="A19" s="6" t="str">
        <x:v>覆盖范围</x:v>
      </x:c>
      <x:c r="B19" s="6" t="str">
        <x:v>48 个已落地 ID；48 个唯一名称；费用均以数值写入。</x:v>
      </x:c>
      <x:c r="C19" s="6" t="str">
        <x:v>每个 ID 一行，升级不重复计数。</x:v>
      </x:c>
    </x:row>
    <x:row r="20" ht="64" customHeight="1">
      <x:c r="A20" s="6" t="str">
        <x:v>数据范围</x:v>
      </x:c>
      <x:c r="B20" s="6" t="str">
        <x:v>仅统计 data/cards.json 已落地卡牌；CARD_TAXONOMY_AND_EXPANSION_12_PROPOSAL.md 中的提案仍标记为未落地。</x:v>
      </x:c>
      <x:c r="C20" s="6" t="str">
        <x:v>未将提议中卡牌冒充为现有卡牌。</x:v>
      </x:c>
    </x:row>
    <x:row r="21" ht="30" customHeight="1">
      <x:c r="A21" s="3"/>
      <x:c r="B21" s="3"/>
      <x:c r="C21" s="3"/>
    </x:row>
    <x:row r="22" ht="30" customHeight="1">
      <x:c r="A22" s="31" t="str">
        <x:v>04  卡牌涉及的状态术语</x:v>
      </x:c>
      <x:c r="B22" s="31" t="str">
        <x:v>04  卡牌涉及的状态术语</x:v>
      </x:c>
      <x:c r="C22" s="31" t="str">
        <x:v>04  卡牌涉及的状态术语</x:v>
      </x:c>
    </x:row>
    <x:row r="23" ht="32" customHeight="1">
      <x:c r="A23" s="12" t="str">
        <x:v>状态名称</x:v>
      </x:c>
      <x:c r="B23" s="12" t="str">
        <x:v>配置中的含义</x:v>
      </x:c>
      <x:c r="C23" s="12" t="str">
        <x:v>状态 ID</x:v>
      </x:c>
    </x:row>
    <x:row r="24" ht="36" customHeight="1">
      <x:c r="A24" s="13" t="str">
        <x:v>力量</x:v>
      </x:c>
      <x:c r="B24" s="13" t="str">
        <x:v>每次攻击额外造成等于层数的伤害。</x:v>
      </x:c>
      <x:c r="C24" s="13" t="str">
        <x:v>heat</x:v>
      </x:c>
    </x:row>
    <x:row r="25" ht="36" customHeight="1">
      <x:c r="A25" s="3" t="str">
        <x:v>敏捷</x:v>
      </x:c>
      <x:c r="B25" s="3" t="str">
        <x:v>获得格挡时额外增加等于层数的格挡。</x:v>
      </x:c>
      <x:c r="C25" s="3" t="str">
        <x:v>temper</x:v>
      </x:c>
    </x:row>
    <x:row r="26" ht="36" customHeight="1">
      <x:c r="A26" s="13" t="str">
        <x:v>易伤</x:v>
      </x:c>
      <x:c r="B26" s="13" t="str">
        <x:v>受到的伤害提高 50%（向下取整）。</x:v>
      </x:c>
      <x:c r="C26" s="13" t="str">
        <x:v>crazed</x:v>
      </x:c>
    </x:row>
    <x:row r="27" ht="36" customHeight="1">
      <x:c r="A27" s="3" t="str">
        <x:v>虚弱</x:v>
      </x:c>
      <x:c r="B27" s="3" t="str">
        <x:v>造成的攻击伤害降低 25%（向下取整）。</x:v>
      </x:c>
      <x:c r="C27" s="3" t="str">
        <x:v>damp</x:v>
      </x:c>
    </x:row>
    <x:row r="28" ht="36" customHeight="1">
      <x:c r="A28" s="13" t="str">
        <x:v>燃烧</x:v>
      </x:c>
      <x:c r="B28" s="13" t="str">
        <x:v>回合开始时失去等于层数的生命，随后层数 -1。</x:v>
      </x:c>
      <x:c r="C28" s="13" t="str">
        <x:v>ashrot</x:v>
      </x:c>
    </x:row>
    <x:row r="29" ht="36" customHeight="1">
      <x:c r="A29" s="3" t="str">
        <x:v>活力</x:v>
      </x:c>
      <x:c r="B29" s="3" t="str">
        <x:v>攻击牌的每个伤害实例额外造成等于层数的伤害；整张攻击牌结算后 -1 层（不按回合衰减）。</x:v>
      </x:c>
      <x:c r="C29" s="3" t="str">
        <x:v>stoke</x:v>
      </x:c>
    </x:row>
    <x:row r="30" ht="36" customHeight="1">
      <x:c r="A30" s="13" t="str">
        <x:v>缓冲</x:v>
      </x:c>
      <x:c r="B30" s="13" t="str">
        <x:v>受到攻击时减伤等于层数，触发 1 次后 -1 层（类护盾）。</x:v>
      </x:c>
      <x:c r="C30" s="13" t="str">
        <x:v>glaze</x:v>
      </x:c>
    </x:row>
    <x:row r="31" ht="36" customHeight="1">
      <x:c r="A31" s="3" t="str">
        <x:v>领袖气质</x:v>
      </x:c>
      <x:c r="B31" s="3" t="str">
        <x:v>你的随从攻击 / 获得格挡时额外 +层数。</x:v>
      </x:c>
      <x:c r="C31" s="3" t="str">
        <x:v>command</x:v>
      </x:c>
    </x:row>
    <x:row r="32" ht="30" customHeight="1">
      <x:c r="A32" s="3"/>
      <x:c r="B32" s="3"/>
      <x:c r="C32" s="3"/>
    </x:row>
    <x:row r="33" ht="30" customHeight="1">
      <x:c r="A33" s="3"/>
      <x:c r="B33" s="3"/>
      <x:c r="C33" s="3"/>
    </x:row>
    <x:row r="34" ht="30" customHeight="1">
      <x:c r="A34" s="31" t="str">
        <x:v>05  召唤卡对应的随从</x:v>
      </x:c>
      <x:c r="B34" s="31" t="str">
        <x:v>05  召唤卡对应的随从</x:v>
      </x:c>
      <x:c r="C34" s="31" t="str">
        <x:v>05  召唤卡对应的随从</x:v>
      </x:c>
    </x:row>
    <x:row r="35" ht="32" customHeight="1">
      <x:c r="A35" s="12" t="str">
        <x:v>随从</x:v>
      </x:c>
      <x:c r="B35" s="12" t="str">
        <x:v>基础配置</x:v>
      </x:c>
      <x:c r="C35" s="12" t="str">
        <x:v>随从 ID</x:v>
      </x:c>
    </x:row>
    <x:row r="36" ht="36" customHeight="1">
      <x:c r="A36" s="13" t="str">
        <x:v>窑犬</x:v>
      </x:c>
      <x:c r="B36" s="13" t="str">
        <x:v>10 生命；起始格挡 0；攻击 5；存活 3 回合。</x:v>
      </x:c>
      <x:c r="C36" s="13" t="str">
        <x:v>emberhound</x:v>
      </x:c>
    </x:row>
    <x:row r="37" ht="36" customHeight="1">
      <x:c r="A37" s="3" t="str">
        <x:v>釉卫</x:v>
      </x:c>
      <x:c r="B37" s="3" t="str">
        <x:v>14 生命；起始格挡 5；防御 5；存活 3 回合。</x:v>
      </x:c>
      <x:c r="C37" s="3" t="str">
        <x:v>glazeward</x:v>
      </x:c>
    </x:row>
    <x:row r="38" ht="36" customHeight="1">
      <x:c r="A38" s="13" t="str">
        <x:v>火灵</x:v>
      </x:c>
      <x:c r="B38" s="13" t="str">
        <x:v>6 生命；起始格挡 0；攻击 4；存活 2 回合。</x:v>
      </x:c>
      <x:c r="C38" s="13" t="str">
        <x:v>spark</x:v>
      </x:c>
    </x:row>
  </x:sheetData>
  <x:mergeCells>
    <x:mergeCell ref="A1:C1"/>
    <x:mergeCell ref="A2:C2"/>
    <x:mergeCell ref="A4:C4"/>
    <x:mergeCell ref="A5:C5"/>
    <x:mergeCell ref="A6:C6"/>
    <x:mergeCell ref="A7:C7"/>
    <x:mergeCell ref="A8:C8"/>
    <x:mergeCell ref="A10:C10"/>
    <x:mergeCell ref="A17:C17"/>
    <x:mergeCell ref="A22:C22"/>
    <x:mergeCell ref="A34:C34"/>
  </x:mergeCells>
  <x:pageMargins left="0.7" right="0.7" top="0.75" bottom="0.75" header="0.3" footer="0.3"/>
</x:worksheet>
</file>